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vmware-host\Shared Folders\Documents\Coding\R\lm.data\data\"/>
    </mc:Choice>
  </mc:AlternateContent>
  <xr:revisionPtr revIDLastSave="0" documentId="8_{7AC8CDF3-63AC-4826-A69A-27FE16BBA679}" xr6:coauthVersionLast="36" xr6:coauthVersionMax="36" xr10:uidLastSave="{00000000-0000-0000-0000-000000000000}"/>
  <bookViews>
    <workbookView xWindow="6090" yWindow="150" windowWidth="8835" windowHeight="5040" xr2:uid="{00000000-000D-0000-FFFF-FFFF00000000}"/>
  </bookViews>
  <sheets>
    <sheet name="Live" sheetId="4" r:id="rId1"/>
    <sheet name="Static" sheetId="5" r:id="rId2"/>
  </sheets>
  <externalReferences>
    <externalReference r:id="rId3"/>
  </externalReferences>
  <definedNames>
    <definedName name="chronological">Live!$C$9</definedName>
    <definedName name="enddate">Live!$C$7</definedName>
    <definedName name="fill">Live!$C$10</definedName>
    <definedName name="period">Live!$C$8</definedName>
    <definedName name="startdate">Live!$C$6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4" l="1"/>
  <c r="J9" i="4"/>
  <c r="K9" i="4"/>
  <c r="O9" i="4"/>
  <c r="N9" i="4"/>
  <c r="M9" i="4"/>
  <c r="E9" i="4"/>
  <c r="AC9" i="4"/>
  <c r="AD9" i="4"/>
  <c r="AB9" i="4"/>
  <c r="AA9" i="4"/>
  <c r="Y9" i="4"/>
  <c r="X9" i="4"/>
  <c r="Z9" i="4"/>
  <c r="W9" i="4"/>
  <c r="V9" i="4"/>
  <c r="T9" i="4"/>
  <c r="U9" i="4"/>
  <c r="S9" i="4"/>
  <c r="R9" i="4"/>
  <c r="P9" i="4"/>
  <c r="Q9" i="4"/>
  <c r="L9" i="4"/>
  <c r="H9" i="4"/>
  <c r="G9" i="4"/>
  <c r="I9" i="4"/>
</calcChain>
</file>

<file path=xl/sharedStrings.xml><?xml version="1.0" encoding="utf-8"?>
<sst xmlns="http://schemas.openxmlformats.org/spreadsheetml/2006/main" count="237" uniqueCount="72">
  <si>
    <t>Parameters</t>
  </si>
  <si>
    <t>Series</t>
  </si>
  <si>
    <t>startamt</t>
  </si>
  <si>
    <t>bb code</t>
  </si>
  <si>
    <t>LBUSTRUU</t>
  </si>
  <si>
    <t>startper</t>
  </si>
  <si>
    <t>yellow</t>
  </si>
  <si>
    <t>Index</t>
  </si>
  <si>
    <t>startdate</t>
  </si>
  <si>
    <t>field</t>
  </si>
  <si>
    <t>PX_LAST</t>
  </si>
  <si>
    <t>start</t>
  </si>
  <si>
    <t>enddate</t>
  </si>
  <si>
    <t>Results</t>
  </si>
  <si>
    <t>period</t>
  </si>
  <si>
    <t>cm</t>
  </si>
  <si>
    <t>Date</t>
  </si>
  <si>
    <t>ascending</t>
  </si>
  <si>
    <t>fill</t>
  </si>
  <si>
    <t>B</t>
  </si>
  <si>
    <t>SBUS13L</t>
  </si>
  <si>
    <t>SBUSL</t>
  </si>
  <si>
    <t>LUACTRUU</t>
  </si>
  <si>
    <t>LF98TRUU</t>
  </si>
  <si>
    <t>JPEIGLBL</t>
  </si>
  <si>
    <t>cy</t>
  </si>
  <si>
    <t>MXWO</t>
  </si>
  <si>
    <t>MXWD</t>
  </si>
  <si>
    <t>MXEF</t>
  </si>
  <si>
    <t>SPX</t>
  </si>
  <si>
    <t>HFRIFOFD</t>
  </si>
  <si>
    <t>HFRIEDI</t>
  </si>
  <si>
    <t>HFRIMI</t>
  </si>
  <si>
    <t>HFRIEHI</t>
  </si>
  <si>
    <t>HFRIRVA</t>
  </si>
  <si>
    <t>FNCOTR</t>
  </si>
  <si>
    <t>DWMIT</t>
  </si>
  <si>
    <t>GOLDS</t>
  </si>
  <si>
    <t>BCOMTR</t>
  </si>
  <si>
    <t>Comdty</t>
  </si>
  <si>
    <t>LD20TRUU</t>
  </si>
  <si>
    <t>LUAITRUU</t>
  </si>
  <si>
    <t>LUAFTRUU</t>
  </si>
  <si>
    <t>LUAUTRUU</t>
  </si>
  <si>
    <t>LUMSTRUU</t>
  </si>
  <si>
    <t>LEGATRUH</t>
  </si>
  <si>
    <t>US.GOVT.B</t>
  </si>
  <si>
    <t>US.GOVT.13</t>
  </si>
  <si>
    <t>US.GOVT</t>
  </si>
  <si>
    <t>US.AGG</t>
  </si>
  <si>
    <t>GL.AGG.H</t>
  </si>
  <si>
    <t>US.MBS</t>
  </si>
  <si>
    <t>US.CORP</t>
  </si>
  <si>
    <t>US.CORP.IND</t>
  </si>
  <si>
    <t>US.CORP.FIN</t>
  </si>
  <si>
    <t>US.CORP.UTIL</t>
  </si>
  <si>
    <t>US.HY</t>
  </si>
  <si>
    <t>EMD.USD</t>
  </si>
  <si>
    <t>US.EQ</t>
  </si>
  <si>
    <t>GL.EQ</t>
  </si>
  <si>
    <t>AC.EQ</t>
  </si>
  <si>
    <t>EM.EQ</t>
  </si>
  <si>
    <t>HF.FOFD</t>
  </si>
  <si>
    <t>HF.EVENT</t>
  </si>
  <si>
    <t>HF.EQUITY</t>
  </si>
  <si>
    <t>HF.RV</t>
  </si>
  <si>
    <t>HF.MACRO</t>
  </si>
  <si>
    <t>REIT</t>
  </si>
  <si>
    <t>US.PE</t>
  </si>
  <si>
    <t>GOLD</t>
  </si>
  <si>
    <t>COMDTY</t>
  </si>
  <si>
    <t>-24cy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</si>
</sst>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164" formatCode="0.00%;[Red]\-0.00%;&quot;-&quot;"/>
    <numFmt numFmtId="165" formatCode="0.0%;[Red]\-0.0%;&quot;-&quot;"/>
    <numFmt numFmtId="166" formatCode="0%;[Red]\-0%;&quot;-&quot;"/>
    <numFmt numFmtId="167" formatCode="#,##0.0000;[Red]\-#,##0.0000;&quot;-&quot;"/>
    <numFmt numFmtId="168" formatCode="#,##0.00;[Red]\-#,##0.00;&quot;-&quot;"/>
    <numFmt numFmtId="169" formatCode="#,##0;[Red]\-#,##0;&quot;-&quot;"/>
    <numFmt numFmtId="170" formatCode="yyyy\-mm\-dd"/>
    <numFmt numFmtId="171" formatCode="yyyy\-mm"/>
    <numFmt numFmtId="172" formatCode="yyyy"/>
    <numFmt numFmtId="173" formatCode="&quot;$&quot;#,##0.00;[Red]\-&quot;$&quot;#,##0.00;&quot;-&quot;"/>
    <numFmt numFmtId="174" formatCode="&quot;$&quot;#,##0;[Red]\-&quot;$&quot;#,##0;&quot;-&quot;"/>
    <numFmt numFmtId="175" formatCode="yyyymmdd"/>
    <numFmt numFmtId="176" formatCode="0.0000"/>
  </numFmts>
  <fonts count="27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theme="1"/>
      <name val="AmplitudeTF"/>
      <family val="3"/>
    </font>
    <font>
      <b/>
      <sz val="11"/>
      <color rgb="FFFFFFFF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color theme="3"/>
      <name val="Arial"/>
      <family val="2"/>
      <scheme val="minor"/>
    </font>
    <font>
      <sz val="11"/>
      <color theme="0" tint="-0.24994659260841701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008E40"/>
      <name val="Arial"/>
      <family val="2"/>
      <scheme val="minor"/>
    </font>
    <font>
      <sz val="11"/>
      <color rgb="FFC3B12F"/>
      <name val="Arial"/>
      <family val="2"/>
      <scheme val="minor"/>
    </font>
    <font>
      <sz val="11"/>
      <color rgb="FF000000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theme="6"/>
        <bgColor rgb="FF000000"/>
      </patternFill>
    </fill>
    <fill>
      <patternFill patternType="solid">
        <fgColor theme="7"/>
        <bgColor rgb="FF000000"/>
      </patternFill>
    </fill>
    <fill>
      <patternFill patternType="solid">
        <fgColor theme="8"/>
        <bgColor rgb="FF000000"/>
      </patternFill>
    </fill>
    <fill>
      <patternFill patternType="solid">
        <fgColor theme="9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rgb="FFD2ECD6"/>
        <bgColor rgb="FF000000"/>
      </patternFill>
    </fill>
    <fill>
      <patternFill patternType="solid">
        <fgColor rgb="FFECD2D2"/>
        <bgColor rgb="FF000000"/>
      </patternFill>
    </fill>
    <fill>
      <patternFill patternType="solid">
        <fgColor rgb="FFECECD2"/>
        <bgColor rgb="FF000000"/>
      </patternFill>
    </fill>
    <fill>
      <patternFill patternType="solid">
        <fgColor rgb="FFD2E0E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4">
    <xf numFmtId="0" fontId="0" fillId="0" borderId="0" applyNumberFormat="0" applyFill="0" applyBorder="0" applyAlignment="0" applyProtection="0">
      <alignment horizontal="center"/>
    </xf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24" fillId="2" borderId="0" applyNumberFormat="0" applyFill="0" applyBorder="0" applyAlignment="0" applyProtection="0">
      <alignment horizontal="center"/>
    </xf>
    <xf numFmtId="0" fontId="23" fillId="3" borderId="0" applyNumberFormat="0" applyFill="0" applyBorder="0" applyAlignment="0" applyProtection="0">
      <alignment horizontal="center"/>
    </xf>
    <xf numFmtId="0" fontId="25" fillId="4" borderId="0" applyNumberFormat="0" applyFill="0" applyBorder="0" applyAlignment="0" applyProtection="0">
      <alignment horizontal="center"/>
    </xf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5" fillId="32" borderId="0" applyNumberFormat="0" applyBorder="0" applyAlignment="0" applyProtection="0"/>
    <xf numFmtId="0" fontId="19" fillId="0" borderId="0" applyNumberFormat="0" applyFill="0" applyBorder="0" applyAlignment="0" applyProtection="0">
      <alignment horizontal="center"/>
    </xf>
    <xf numFmtId="166" fontId="1" fillId="0" borderId="0" applyFont="0" applyFill="0" applyBorder="0" applyAlignment="0" applyProtection="0">
      <alignment horizontal="center"/>
    </xf>
    <xf numFmtId="0" fontId="20" fillId="0" borderId="0" applyNumberFormat="0" applyFill="0" applyBorder="0" applyAlignment="0" applyProtection="0">
      <alignment horizontal="center"/>
    </xf>
    <xf numFmtId="169" fontId="1" fillId="0" borderId="0" applyFont="0" applyFill="0" applyBorder="0" applyAlignment="0" applyProtection="0">
      <alignment horizontal="center"/>
    </xf>
    <xf numFmtId="0" fontId="21" fillId="0" borderId="0" applyNumberFormat="0" applyFill="0" applyBorder="0" applyAlignment="0" applyProtection="0">
      <alignment horizontal="center"/>
    </xf>
    <xf numFmtId="165" fontId="1" fillId="0" borderId="0" applyFont="0" applyFill="0" applyBorder="0" applyAlignment="0" applyProtection="0">
      <alignment horizontal="center"/>
    </xf>
    <xf numFmtId="0" fontId="14" fillId="0" borderId="0" applyNumberFormat="0" applyFill="0" applyBorder="0" applyAlignment="0" applyProtection="0">
      <alignment horizontal="center"/>
    </xf>
    <xf numFmtId="164" fontId="1" fillId="0" borderId="0" applyFont="0" applyFill="0" applyBorder="0" applyAlignment="0" applyProtection="0">
      <alignment horizontal="center"/>
    </xf>
    <xf numFmtId="168" fontId="1" fillId="0" borderId="0" applyFont="0" applyFill="0" applyBorder="0" applyAlignment="0" applyProtection="0">
      <alignment horizontal="center"/>
    </xf>
    <xf numFmtId="167" fontId="1" fillId="0" borderId="0" applyFont="0" applyFill="0" applyBorder="0" applyAlignment="0" applyProtection="0">
      <alignment horizontal="center"/>
    </xf>
    <xf numFmtId="0" fontId="17" fillId="33" borderId="0" applyNumberFormat="0">
      <alignment horizontal="left"/>
    </xf>
    <xf numFmtId="0" fontId="18" fillId="33" borderId="0" applyNumberFormat="0">
      <alignment horizontal="center"/>
    </xf>
    <xf numFmtId="0" fontId="18" fillId="36" borderId="0" applyNumberFormat="0">
      <alignment horizontal="center"/>
    </xf>
    <xf numFmtId="0" fontId="1" fillId="35" borderId="0" applyNumberFormat="0" applyProtection="0">
      <alignment horizontal="center"/>
    </xf>
    <xf numFmtId="0" fontId="17" fillId="36" borderId="0" applyNumberFormat="0">
      <alignment horizontal="left"/>
    </xf>
    <xf numFmtId="0" fontId="17" fillId="37" borderId="0" applyNumberFormat="0">
      <alignment horizontal="left"/>
    </xf>
    <xf numFmtId="0" fontId="18" fillId="37" borderId="0" applyNumberFormat="0">
      <alignment horizontal="center"/>
    </xf>
    <xf numFmtId="0" fontId="16" fillId="0" borderId="0">
      <alignment horizontal="center"/>
    </xf>
    <xf numFmtId="0" fontId="17" fillId="38" borderId="0" applyNumberFormat="0">
      <alignment horizontal="left"/>
    </xf>
    <xf numFmtId="0" fontId="17" fillId="39" borderId="0" applyNumberFormat="0">
      <alignment horizontal="left"/>
    </xf>
    <xf numFmtId="0" fontId="17" fillId="40" borderId="0" applyNumberFormat="0">
      <alignment horizontal="left"/>
    </xf>
    <xf numFmtId="0" fontId="17" fillId="41" borderId="0" applyNumberFormat="0">
      <alignment horizontal="left"/>
    </xf>
    <xf numFmtId="0" fontId="18" fillId="38" borderId="0" applyNumberFormat="0">
      <alignment horizontal="center"/>
    </xf>
    <xf numFmtId="0" fontId="18" fillId="39" borderId="0" applyNumberFormat="0">
      <alignment horizontal="center"/>
    </xf>
    <xf numFmtId="0" fontId="18" fillId="40" borderId="0" applyNumberFormat="0">
      <alignment horizontal="center"/>
    </xf>
    <xf numFmtId="0" fontId="18" fillId="41" borderId="0" applyNumberFormat="0">
      <alignment horizontal="center"/>
    </xf>
    <xf numFmtId="0" fontId="14" fillId="35" borderId="0" applyNumberFormat="0" applyProtection="0">
      <alignment horizontal="center"/>
    </xf>
    <xf numFmtId="170" fontId="22" fillId="0" borderId="0" applyFont="0" applyFill="0" applyBorder="0" applyAlignment="0" applyProtection="0">
      <alignment horizontal="center"/>
    </xf>
    <xf numFmtId="171" fontId="22" fillId="0" borderId="0" applyFont="0" applyFill="0" applyBorder="0" applyAlignment="0" applyProtection="0">
      <alignment horizontal="center"/>
    </xf>
    <xf numFmtId="172" fontId="22" fillId="0" borderId="0" applyFont="0" applyFill="0" applyBorder="0" applyAlignment="0" applyProtection="0">
      <alignment horizontal="center"/>
    </xf>
    <xf numFmtId="40" fontId="16" fillId="0" borderId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8" fillId="34" borderId="0" applyNumberFormat="0">
      <alignment horizontal="center"/>
    </xf>
    <xf numFmtId="0" fontId="17" fillId="34" borderId="0" applyNumberFormat="0">
      <alignment horizontal="left"/>
    </xf>
    <xf numFmtId="0" fontId="1" fillId="45" borderId="0" applyNumberFormat="0" applyProtection="0">
      <alignment horizontal="center"/>
    </xf>
    <xf numFmtId="167" fontId="1" fillId="42" borderId="0" applyNumberFormat="0" applyProtection="0">
      <alignment horizontal="center"/>
    </xf>
    <xf numFmtId="167" fontId="1" fillId="44" borderId="0" applyNumberFormat="0" applyProtection="0">
      <alignment horizontal="center"/>
    </xf>
    <xf numFmtId="167" fontId="1" fillId="43" borderId="0" applyNumberFormat="0" applyProtection="0">
      <alignment horizontal="center"/>
    </xf>
    <xf numFmtId="164" fontId="1" fillId="0" borderId="0" applyFont="0" applyFill="0" applyBorder="0" applyAlignment="0" applyProtection="0">
      <alignment horizontal="center"/>
    </xf>
    <xf numFmtId="173" fontId="16" fillId="35" borderId="0">
      <alignment horizontal="center"/>
    </xf>
    <xf numFmtId="173" fontId="1" fillId="0" borderId="0" applyFont="0" applyFill="0" applyBorder="0" applyAlignment="0" applyProtection="0">
      <alignment horizontal="center"/>
    </xf>
    <xf numFmtId="169" fontId="1" fillId="0" borderId="0" applyFont="0" applyFill="0" applyBorder="0" applyAlignment="0" applyProtection="0">
      <alignment horizontal="center"/>
    </xf>
    <xf numFmtId="173" fontId="1" fillId="0" borderId="0" applyFont="0" applyFill="0" applyBorder="0" applyAlignment="0" applyProtection="0">
      <alignment horizontal="center"/>
    </xf>
    <xf numFmtId="174" fontId="1" fillId="0" borderId="0" applyFont="0" applyFill="0" applyBorder="0" applyAlignment="0" applyProtection="0">
      <alignment horizontal="center"/>
    </xf>
    <xf numFmtId="175" fontId="1" fillId="0" borderId="0" applyFont="0" applyFill="0" applyBorder="0" applyAlignment="0" applyProtection="0">
      <alignment horizontal="center"/>
    </xf>
    <xf numFmtId="176" fontId="1" fillId="0" borderId="0" applyFont="0" applyFill="0" applyBorder="0" applyAlignment="0" applyProtection="0">
      <alignment horizontal="center"/>
    </xf>
    <xf numFmtId="0" fontId="1" fillId="0" borderId="0" applyFill="0" applyBorder="0" applyAlignment="0" applyProtection="0">
      <alignment horizontal="center"/>
    </xf>
    <xf numFmtId="2" fontId="1" fillId="0" borderId="0" applyFont="0" applyFill="0" applyBorder="0" applyAlignment="0" applyProtection="0">
      <alignment horizontal="center"/>
    </xf>
    <xf numFmtId="170" fontId="22" fillId="0" borderId="0" applyNumberFormat="0" applyFont="0" applyBorder="0" applyAlignment="0" applyProtection="0">
      <alignment horizontal="center"/>
    </xf>
  </cellStyleXfs>
  <cellXfs count="13">
    <xf numFmtId="0" fontId="0" fillId="0" borderId="0" xfId="0">
      <alignment horizontal="center"/>
    </xf>
    <xf numFmtId="176" fontId="0" fillId="0" borderId="0" xfId="90" applyFont="1">
      <alignment horizontal="center"/>
    </xf>
    <xf numFmtId="176" fontId="17" fillId="33" borderId="0" xfId="90" applyFont="1" applyFill="1" applyAlignment="1">
      <alignment horizontal="left"/>
    </xf>
    <xf numFmtId="176" fontId="14" fillId="35" borderId="0" xfId="90" applyFont="1" applyFill="1">
      <alignment horizontal="center"/>
    </xf>
    <xf numFmtId="176" fontId="1" fillId="45" borderId="0" xfId="90" applyFill="1">
      <alignment horizontal="center"/>
    </xf>
    <xf numFmtId="176" fontId="1" fillId="35" borderId="0" xfId="90" applyFill="1">
      <alignment horizontal="center"/>
    </xf>
    <xf numFmtId="169" fontId="1" fillId="45" borderId="0" xfId="45" applyFill="1">
      <alignment horizontal="center"/>
    </xf>
    <xf numFmtId="170" fontId="22" fillId="0" borderId="0" xfId="69" applyFont="1">
      <alignment horizontal="center"/>
    </xf>
    <xf numFmtId="170" fontId="17" fillId="33" borderId="0" xfId="69" applyFont="1" applyFill="1" applyAlignment="1">
      <alignment horizontal="left"/>
    </xf>
    <xf numFmtId="170" fontId="14" fillId="35" borderId="0" xfId="69" applyFont="1" applyFill="1">
      <alignment horizontal="center"/>
    </xf>
    <xf numFmtId="0" fontId="1" fillId="45" borderId="0" xfId="91" applyFill="1">
      <alignment horizontal="center"/>
    </xf>
    <xf numFmtId="0" fontId="1" fillId="35" borderId="0" xfId="55">
      <alignment horizontal="center"/>
    </xf>
    <xf numFmtId="176" fontId="0" fillId="45" borderId="0" xfId="90" applyFont="1" applyFill="1">
      <alignment horizontal="center"/>
    </xf>
  </cellXfs>
  <cellStyles count="94">
    <cellStyle name=".Data Bold" xfId="68" xr:uid="{00000000-0005-0000-0000-000000000000}"/>
    <cellStyle name=".Data Regular" xfId="55" xr:uid="{00000000-0005-0000-0000-000001000000}"/>
    <cellStyle name=".User Blue" xfId="79" xr:uid="{00000000-0005-0000-0000-000002000000}"/>
    <cellStyle name=".User Green" xfId="80" xr:uid="{00000000-0005-0000-0000-000003000000}"/>
    <cellStyle name=".User Red" xfId="82" xr:uid="{00000000-0005-0000-0000-000004000000}"/>
    <cellStyle name=".User Yellow" xfId="81" xr:uid="{00000000-0005-0000-0000-000005000000}"/>
    <cellStyle name="20% - Accent1" xfId="19" builtinId="30" hidden="1"/>
    <cellStyle name="20% - Accent2" xfId="23" builtinId="34" hidden="1"/>
    <cellStyle name="20% - Accent3" xfId="27" builtinId="38" hidden="1"/>
    <cellStyle name="20% - Accent4" xfId="31" builtinId="42" hidden="1"/>
    <cellStyle name="20% - Accent5" xfId="35" builtinId="46" hidden="1"/>
    <cellStyle name="20% - Accent6" xfId="39" builtinId="50" hidden="1"/>
    <cellStyle name="40% - Accent1" xfId="20" builtinId="31" hidden="1"/>
    <cellStyle name="40% - Accent2" xfId="24" builtinId="35" hidden="1"/>
    <cellStyle name="40% - Accent3" xfId="28" builtinId="39" hidden="1"/>
    <cellStyle name="40% - Accent4" xfId="32" builtinId="43" hidden="1"/>
    <cellStyle name="40% - Accent5" xfId="36" builtinId="47" hidden="1"/>
    <cellStyle name="40% - Accent6" xfId="40" builtinId="51" hidden="1"/>
    <cellStyle name="60% - Accent1" xfId="21" builtinId="32" hidden="1"/>
    <cellStyle name="60% - Accent2" xfId="25" builtinId="36" hidden="1"/>
    <cellStyle name="60% - Accent3" xfId="29" builtinId="40" hidden="1"/>
    <cellStyle name="60% - Accent4" xfId="33" builtinId="44" hidden="1"/>
    <cellStyle name="60% - Accent5" xfId="37" builtinId="48" hidden="1"/>
    <cellStyle name="60% - Accent6" xfId="41" builtinId="52" hidden="1"/>
    <cellStyle name="A   Title" xfId="52" xr:uid="{00000000-0005-0000-0000-000018000000}"/>
    <cellStyle name="A  Header" xfId="53" xr:uid="{00000000-0005-0000-0000-000019000000}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B   Title" xfId="56" xr:uid="{00000000-0005-0000-0000-000020000000}"/>
    <cellStyle name="B  Header" xfId="54" xr:uid="{00000000-0005-0000-0000-000021000000}"/>
    <cellStyle name="Bad" xfId="7" builtinId="27" customBuiltin="1"/>
    <cellStyle name="C   Title" xfId="57" xr:uid="{00000000-0005-0000-0000-000023000000}"/>
    <cellStyle name="C  Header" xfId="58" xr:uid="{00000000-0005-0000-0000-000024000000}"/>
    <cellStyle name="Calculation" xfId="11" builtinId="22" hidden="1"/>
    <cellStyle name="Check Cell" xfId="13" builtinId="23" hidden="1"/>
    <cellStyle name="Comma" xfId="72" builtinId="3" hidden="1" customBuiltin="1"/>
    <cellStyle name="Comma" xfId="86" builtinId="3" customBuiltin="1"/>
    <cellStyle name="Comma [0]" xfId="73" builtinId="6" hidden="1"/>
    <cellStyle name="Currency" xfId="74" builtinId="4" hidden="1"/>
    <cellStyle name="Currency" xfId="84" builtinId="4" hidden="1"/>
    <cellStyle name="Currency" xfId="85" builtinId="4" customBuiltin="1"/>
    <cellStyle name="Currency [0]" xfId="75" builtinId="7" hidden="1"/>
    <cellStyle name="D   Title" xfId="60" xr:uid="{00000000-0005-0000-0000-00002E000000}"/>
    <cellStyle name="D  Header" xfId="64" xr:uid="{00000000-0005-0000-0000-00002F000000}"/>
    <cellStyle name="E   Title" xfId="61" xr:uid="{00000000-0005-0000-0000-000030000000}"/>
    <cellStyle name="E  Header" xfId="65" xr:uid="{00000000-0005-0000-0000-000031000000}"/>
    <cellStyle name="Explanatory Text" xfId="16" builtinId="53" hidden="1"/>
    <cellStyle name="F   Title" xfId="62" xr:uid="{00000000-0005-0000-0000-000033000000}"/>
    <cellStyle name="F  Header" xfId="66" xr:uid="{00000000-0005-0000-0000-000034000000}"/>
    <cellStyle name="G   Title" xfId="63" xr:uid="{00000000-0005-0000-0000-000035000000}"/>
    <cellStyle name="G  Header" xfId="67" xr:uid="{00000000-0005-0000-0000-000036000000}"/>
    <cellStyle name="Good" xfId="6" builtinId="26" customBuiltin="1"/>
    <cellStyle name="H   Title" xfId="78" xr:uid="{00000000-0005-0000-0000-000038000000}"/>
    <cellStyle name="H  Header" xfId="77" xr:uid="{00000000-0005-0000-0000-000039000000}"/>
    <cellStyle name="Heading 1" xfId="2" builtinId="16" hidden="1"/>
    <cellStyle name="Heading 2" xfId="3" builtinId="17" hidden="1"/>
    <cellStyle name="Heading 3" xfId="4" builtinId="18" hidden="1"/>
    <cellStyle name="Heading 4" xfId="5" builtinId="19" hidden="1"/>
    <cellStyle name="Input" xfId="9" builtinId="20" hidden="1"/>
    <cellStyle name="Linked Cell" xfId="12" builtinId="24" hidden="1"/>
    <cellStyle name="Neutral" xfId="8" builtinId="28" customBuiltin="1"/>
    <cellStyle name="Normal" xfId="0" builtinId="0" customBuiltin="1"/>
    <cellStyle name="Note" xfId="15" builtinId="10" hidden="1"/>
    <cellStyle name="Num $" xfId="88" xr:uid="{00000000-0005-0000-0000-000043000000}"/>
    <cellStyle name="Num $.00" xfId="87" xr:uid="{00000000-0005-0000-0000-000044000000}"/>
    <cellStyle name="Num 0" xfId="45" xr:uid="{00000000-0005-0000-0000-000045000000}"/>
    <cellStyle name="Num 0.00" xfId="50" xr:uid="{00000000-0005-0000-0000-000046000000}"/>
    <cellStyle name="Num 0.0000" xfId="51" xr:uid="{00000000-0005-0000-0000-000047000000}"/>
    <cellStyle name="Output" xfId="10" builtinId="21" hidden="1"/>
    <cellStyle name="Pct 0%" xfId="43" xr:uid="{00000000-0005-0000-0000-000049000000}"/>
    <cellStyle name="Pct 0.0%" xfId="47" xr:uid="{00000000-0005-0000-0000-00004A000000}"/>
    <cellStyle name="Pct 0.00%" xfId="49" xr:uid="{00000000-0005-0000-0000-00004B000000}"/>
    <cellStyle name="Percent" xfId="76" builtinId="5" hidden="1"/>
    <cellStyle name="Percent" xfId="59" builtinId="5" hidden="1"/>
    <cellStyle name="Percent" xfId="83" builtinId="5" customBuiltin="1"/>
    <cellStyle name="R 0.00" xfId="92" xr:uid="{00000000-0005-0000-0000-00004F000000}"/>
    <cellStyle name="R 0.0000" xfId="90" xr:uid="{00000000-0005-0000-0000-000050000000}"/>
    <cellStyle name="Title" xfId="1" builtinId="15" hidden="1"/>
    <cellStyle name="Total" xfId="17" builtinId="25" hidden="1"/>
    <cellStyle name="Total" xfId="48" builtinId="25" hidden="1"/>
    <cellStyle name="TxtComment" xfId="42" xr:uid="{00000000-0005-0000-0000-000054000000}"/>
    <cellStyle name="TxtGeneral" xfId="91" xr:uid="{00000000-0005-0000-0000-000055000000}"/>
    <cellStyle name="TxtIndex" xfId="44" xr:uid="{00000000-0005-0000-0000-000056000000}"/>
    <cellStyle name="TxtTotal" xfId="46" xr:uid="{00000000-0005-0000-0000-000057000000}"/>
    <cellStyle name="Warning Text" xfId="14" builtinId="11" hidden="1"/>
    <cellStyle name="White" xfId="93" xr:uid="{00000000-0005-0000-0000-000059000000}"/>
    <cellStyle name="yyyy" xfId="71" xr:uid="{00000000-0005-0000-0000-00005A000000}"/>
    <cellStyle name="yyyy-mm" xfId="70" xr:uid="{00000000-0005-0000-0000-00005B000000}"/>
    <cellStyle name="yyyymmdd" xfId="89" xr:uid="{00000000-0005-0000-0000-00005C000000}"/>
    <cellStyle name="yyyy-mm-dd" xfId="69" xr:uid="{00000000-0005-0000-0000-00005D000000}"/>
  </cellStyles>
  <dxfs count="0"/>
  <tableStyles count="0" defaultTableStyle="TableStyleMedium2" defaultPivotStyle="PivotStyleLight16"/>
  <colors>
    <mruColors>
      <color rgb="FFD2E0EC"/>
      <color rgb="FF6DCBE1"/>
      <color rgb="FFC3B12F"/>
      <color rgb="FFBEC131"/>
      <color rgb="FF008E40"/>
      <color rgb="FF009E47"/>
      <color rgb="FFECECD2"/>
      <color rgb="FFEAECD2"/>
      <color rgb="FFECD2D2"/>
      <color rgb="FFD2EC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591.78</v>
        <stp/>
        <stp>##V3_BDHV12</stp>
        <stp>LBUSTRUU Index</stp>
        <stp>PX_LAST</stp>
        <stp>-24cy</stp>
        <stp/>
        <stp>[JPM Bloomberg Template 2016.xlsm]Live!R9C9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I9" s="4"/>
      </tp>
      <tp>
        <v>214.74969999999999</v>
        <stp/>
        <stp>##V3_BDHV12</stp>
        <stp>SBUS13L Index</stp>
        <stp>PX_LAST</stp>
        <stp>-24cy</stp>
        <stp/>
        <stp>[JPM Bloomberg Template 2016.xlsm]Live!R9C7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G9" s="4"/>
      </tp>
      <tp>
        <v>34334</v>
        <stp/>
        <stp>##V3_BDHV12</stp>
        <stp>LD20TRUU Index</stp>
        <stp>PX_LAST</stp>
        <stp>-24cy</stp>
        <stp/>
        <stp>[JPM Bloomberg Template 2016.xlsm]Live!R9C5</stp>
        <stp>Dir=V</stp>
        <stp>Dts=S</stp>
        <stp>Sort=A</stp>
        <stp>Quote=C</stp>
        <stp>QtTyp=Y</stp>
        <stp>Days=W</stp>
        <stp>Per=cm</stp>
        <stp>Fill=B</stp>
        <stp>DtFmt=D</stp>
        <stp>UseDPDF=Y</stp>
        <stp>cols=2;rows=297</stp>
        <tr r="E9" s="4"/>
      </tp>
      <tp>
        <v>390.7</v>
        <stp/>
        <stp>##V3_BDHV12</stp>
        <stp>GOLDS Comdty</stp>
        <stp>PX_LAST</stp>
        <stp>-24cy</stp>
        <stp/>
        <stp>[JPM Bloomberg Template 2016.xlsm]Live!R9C29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AC9" s="4"/>
      </tp>
    </main>
    <main first="bloomberg.rtd">
      <tp>
        <v>706.31</v>
        <stp/>
        <stp>##V3_BDHV12</stp>
        <stp>LUAFTRUU Index</stp>
        <stp>PX_LAST</stp>
        <stp>-24cy</stp>
        <stp/>
        <stp>[JPM Bloomberg Template 2016.xlsm]Live!R9C14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N9" s="4"/>
      </tp>
      <tp>
        <v>727.94</v>
        <stp/>
        <stp>##V3_BDHV12</stp>
        <stp>LUAUTRUU Index</stp>
        <stp>PX_LAST</stp>
        <stp>-24cy</stp>
        <stp/>
        <stp>[JPM Bloomberg Template 2016.xlsm]Live!R9C15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O9" s="4"/>
      </tp>
      <tp>
        <v>701.84</v>
        <stp/>
        <stp>##V3_BDHV12</stp>
        <stp>LUACTRUU Index</stp>
        <stp>PX_LAST</stp>
        <stp>-24cy</stp>
        <stp/>
        <stp>[JPM Bloomberg Template 2016.xlsm]Live!R9C12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L9" s="4"/>
      </tp>
      <tp>
        <v>685.09</v>
        <stp/>
        <stp>##V3_BDHV12</stp>
        <stp>LUAITRUU Index</stp>
        <stp>PX_LAST</stp>
        <stp>-24cy</stp>
        <stp/>
        <stp>[JPM Bloomberg Template 2016.xlsm]Live!R9C13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M9" s="4"/>
      </tp>
      <tp>
        <v>607.33000000000004</v>
        <stp/>
        <stp>##V3_BDHV12</stp>
        <stp>LUMSTRUU Index</stp>
        <stp>PX_LAST</stp>
        <stp>-24cy</stp>
        <stp/>
        <stp>[JPM Bloomberg Template 2016.xlsm]Live!R9C11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K9" s="4"/>
      </tp>
      <tp>
        <v>1841.5761</v>
        <stp/>
        <stp>##V3_BDHV12</stp>
        <stp>HFRIFOFD Index</stp>
        <stp>PX_LAST</stp>
        <stp>-24cy</stp>
        <stp/>
        <stp>[JPM Bloomberg Template 2016.xlsm]Live!R9C22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cols=1;rows=298</stp>
        <tr r="V9" s="4"/>
      </tp>
      <tp>
        <v>2009.7357999999999</v>
        <stp/>
        <stp>##V3_BDHV12</stp>
        <stp>HFRIRVA Index</stp>
        <stp>PX_LAST</stp>
        <stp>-24cy</stp>
        <stp/>
        <stp>[JPM Bloomberg Template 2016.xlsm]Live!R9C25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cols=1;rows=298</stp>
        <tr r="Y9" s="4"/>
      </tp>
      <tp>
        <v>703.57069999999999</v>
        <stp/>
        <stp>##V3_BDHV12</stp>
        <stp>FNCOTR Index</stp>
        <stp>PX_LAST</stp>
        <stp>-24cy</stp>
        <stp/>
        <stp>[JPM Bloomberg Template 2016.xlsm]Live!R9C27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AA9" s="4"/>
      </tp>
      <tp>
        <v>355.6</v>
        <stp/>
        <stp>##V3_BDHV12</stp>
        <stp>LF98TRUU Index</stp>
        <stp>PX_LAST</stp>
        <stp>-24cy</stp>
        <stp/>
        <stp>[JPM Bloomberg Template 2016.xlsm]Live!R9C16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P9" s="4"/>
      </tp>
      <tp>
        <v>96.694000000000003</v>
        <stp/>
        <stp>##V3_BDHV12</stp>
        <stp>BCOMTR Index</stp>
        <stp>PX_LAST</stp>
        <stp>-24cy</stp>
        <stp/>
        <stp>[JPM Bloomberg Template 2016.xlsm]Live!R9C30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AD9" s="4"/>
      </tp>
      <tp>
        <v>145.88489999999999</v>
        <stp/>
        <stp>##V3_BDHV12</stp>
        <stp>LEGATRUH Index</stp>
        <stp>PX_LAST</stp>
        <stp>-24cy</stp>
        <stp/>
        <stp>[JPM Bloomberg Template 2016.xlsm]Live!R9C10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J9" s="4"/>
      </tp>
      <tp>
        <v>3218.8229000000001</v>
        <stp/>
        <stp>##V3_BDHV12</stp>
        <stp>HFRIMI Index</stp>
        <stp>PX_LAST</stp>
        <stp>-24cy</stp>
        <stp/>
        <stp>[JPM Bloomberg Template 2016.xlsm]Live!R9C26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cols=1;rows=298</stp>
        <tr r="Z9" s="4"/>
      </tp>
      <tp>
        <v>6593.29</v>
        <stp/>
        <stp>##V3_BDHV12</stp>
        <stp>DWMIT Index</stp>
        <stp>PX_LAST</stp>
        <stp>-24cy</stp>
        <stp/>
        <stp>[JPM Bloomberg Template 2016.xlsm]Live!R9C28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AB9" s="4"/>
      </tp>
      <tp>
        <v>100</v>
        <stp/>
        <stp>##V3_BDHV12</stp>
        <stp>JPEIGLBL Index</stp>
        <stp>PX_LAST</stp>
        <stp>-24cy</stp>
        <stp/>
        <stp>[JPM Bloomberg Template 2016.xlsm]Live!R9C17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Q9" s="4"/>
      </tp>
      <tp>
        <v>2489.2093</v>
        <stp/>
        <stp>##V3_BDHV12</stp>
        <stp>HFRIEHI Index</stp>
        <stp>PX_LAST</stp>
        <stp>-24cy</stp>
        <stp/>
        <stp>[JPM Bloomberg Template 2016.xlsm]Live!R9C24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cols=1;rows=298</stp>
        <tr r="X9" s="4"/>
      </tp>
      <tp>
        <v>1942.4477999999999</v>
        <stp/>
        <stp>##V3_BDHV12</stp>
        <stp>HFRIEDI Index</stp>
        <stp>PX_LAST</stp>
        <stp>-24cy</stp>
        <stp/>
        <stp>[JPM Bloomberg Template 2016.xlsm]Live!R9C23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cols=1;rows=298</stp>
        <tr r="W9" s="4"/>
      </tp>
      <tp>
        <v>259.69639999999998</v>
        <stp/>
        <stp>##V3_BDHV12</stp>
        <stp>SBUSL Index</stp>
        <stp>PX_LAST</stp>
        <stp>-24cy</stp>
        <stp/>
        <stp>[JPM Bloomberg Template 2016.xlsm]Live!R9C8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H9" s="4"/>
      </tp>
    </main>
    <main first="bloomberg.rtd">
      <tp>
        <v>466.45</v>
        <stp/>
        <stp>##V3_BDHV12</stp>
        <stp>SPX Index</stp>
        <stp>PX_LAST</stp>
        <stp>-24cy</stp>
        <stp/>
        <stp>[JPM Bloomberg Template 2016.xlsm]Live!R9C18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R9" s="4"/>
      </tp>
      <tp>
        <v>598.5</v>
        <stp/>
        <stp>##V3_BDHV12</stp>
        <stp>MXWO Index</stp>
        <stp>PX_LAST</stp>
        <stp>-24cy</stp>
        <stp/>
        <stp>[JPM Bloomberg Template 2016.xlsm]Live!R9C19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S9" s="4"/>
      </tp>
      <tp>
        <v>539.34</v>
        <stp/>
        <stp>##V3_BDHV12</stp>
        <stp>MXEF Index</stp>
        <stp>PX_LAST</stp>
        <stp>-24cy</stp>
        <stp/>
        <stp>[JPM Bloomberg Template 2016.xlsm]Live!R9C21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U9" s="4"/>
      </tp>
      <tp>
        <v>151.28</v>
        <stp/>
        <stp>##V3_BDHV12</stp>
        <stp>MXWD Index</stp>
        <stp>PX_LAST</stp>
        <stp>-24cy</stp>
        <stp/>
        <stp>[JPM Bloomberg Template 2016.xlsm]Live!R9C20</stp>
        <stp>Dir=V</stp>
        <stp>Dts=H</stp>
        <stp>Sort=A</stp>
        <stp>Quote=C</stp>
        <stp>QtTyp=Y</stp>
        <stp>Days=W</stp>
        <stp>Per=cm</stp>
        <stp>Fill=B</stp>
        <stp>DtFmt=D</stp>
        <stp>UseDPDF=Y</stp>
        <stp>cols=1;rows=297</stp>
        <tr r="T9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10</xdr:row>
          <xdr:rowOff>161925</xdr:rowOff>
        </xdr:from>
        <xdr:to>
          <xdr:col>1</xdr:col>
          <xdr:colOff>752475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161925</xdr:rowOff>
        </xdr:from>
        <xdr:to>
          <xdr:col>2</xdr:col>
          <xdr:colOff>752475</xdr:colOff>
          <xdr:row>12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lp\API\Office%20Tools\BloombergUI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efresh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JPMAM 2016">
      <a:dk1>
        <a:srgbClr val="000000"/>
      </a:dk1>
      <a:lt1>
        <a:srgbClr val="FFFFFF"/>
      </a:lt1>
      <a:dk2>
        <a:srgbClr val="63666A"/>
      </a:dk2>
      <a:lt2>
        <a:srgbClr val="ED8B00"/>
      </a:lt2>
      <a:accent1>
        <a:srgbClr val="91897E"/>
      </a:accent1>
      <a:accent2>
        <a:srgbClr val="006496"/>
      </a:accent2>
      <a:accent3>
        <a:srgbClr val="582C83"/>
      </a:accent3>
      <a:accent4>
        <a:srgbClr val="828838"/>
      </a:accent4>
      <a:accent5>
        <a:srgbClr val="373741"/>
      </a:accent5>
      <a:accent6>
        <a:srgbClr val="649099"/>
      </a:accent6>
      <a:hlink>
        <a:srgbClr val="A89968"/>
      </a:hlink>
      <a:folHlink>
        <a:srgbClr val="F6BE00"/>
      </a:folHlink>
    </a:clrScheme>
    <a:fontScheme name="JPMAM 2016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D5055"/>
  <sheetViews>
    <sheetView showGridLines="0" tabSelected="1" zoomScale="75" zoomScaleNormal="75" workbookViewId="0"/>
  </sheetViews>
  <sheetFormatPr defaultColWidth="10.125" defaultRowHeight="14.25"/>
  <cols>
    <col min="1" max="1" width="3.625" style="1" customWidth="1"/>
    <col min="2" max="2" width="10.125" style="1"/>
    <col min="3" max="3" width="12.875" style="1" customWidth="1"/>
    <col min="4" max="4" width="4" style="1" customWidth="1"/>
    <col min="5" max="5" width="10.625" style="7" bestFit="1" customWidth="1"/>
    <col min="6" max="30" width="10.25" style="1" bestFit="1" customWidth="1"/>
    <col min="31" max="16384" width="10.125" style="1"/>
  </cols>
  <sheetData>
    <row r="2" spans="2:30" ht="15">
      <c r="B2" s="2" t="s">
        <v>0</v>
      </c>
      <c r="C2" s="2"/>
      <c r="E2" s="8" t="s">
        <v>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2:30" ht="15">
      <c r="B3" s="3" t="s">
        <v>2</v>
      </c>
      <c r="C3" s="6">
        <v>-24</v>
      </c>
      <c r="E3" s="9" t="s">
        <v>3</v>
      </c>
      <c r="F3" s="12" t="s">
        <v>40</v>
      </c>
      <c r="G3" s="12" t="s">
        <v>20</v>
      </c>
      <c r="H3" s="12" t="s">
        <v>21</v>
      </c>
      <c r="I3" s="12" t="s">
        <v>4</v>
      </c>
      <c r="J3" s="12" t="s">
        <v>45</v>
      </c>
      <c r="K3" s="12" t="s">
        <v>44</v>
      </c>
      <c r="L3" s="12" t="s">
        <v>22</v>
      </c>
      <c r="M3" s="12" t="s">
        <v>41</v>
      </c>
      <c r="N3" s="12" t="s">
        <v>42</v>
      </c>
      <c r="O3" s="12" t="s">
        <v>43</v>
      </c>
      <c r="P3" s="12" t="s">
        <v>23</v>
      </c>
      <c r="Q3" s="12" t="s">
        <v>24</v>
      </c>
      <c r="R3" s="12" t="s">
        <v>29</v>
      </c>
      <c r="S3" s="12" t="s">
        <v>26</v>
      </c>
      <c r="T3" s="12" t="s">
        <v>27</v>
      </c>
      <c r="U3" s="12" t="s">
        <v>28</v>
      </c>
      <c r="V3" s="12" t="s">
        <v>30</v>
      </c>
      <c r="W3" s="12" t="s">
        <v>31</v>
      </c>
      <c r="X3" s="12" t="s">
        <v>33</v>
      </c>
      <c r="Y3" s="12" t="s">
        <v>34</v>
      </c>
      <c r="Z3" s="12" t="s">
        <v>32</v>
      </c>
      <c r="AA3" s="12" t="s">
        <v>35</v>
      </c>
      <c r="AB3" s="12" t="s">
        <v>36</v>
      </c>
      <c r="AC3" s="12" t="s">
        <v>37</v>
      </c>
      <c r="AD3" s="12" t="s">
        <v>38</v>
      </c>
    </row>
    <row r="4" spans="2:30" ht="15">
      <c r="B4" s="3" t="s">
        <v>5</v>
      </c>
      <c r="C4" s="12" t="s">
        <v>25</v>
      </c>
      <c r="E4" s="9" t="s">
        <v>6</v>
      </c>
      <c r="F4" s="4" t="s">
        <v>7</v>
      </c>
      <c r="G4" s="4" t="s">
        <v>7</v>
      </c>
      <c r="H4" s="4" t="s">
        <v>7</v>
      </c>
      <c r="I4" s="4" t="s">
        <v>7</v>
      </c>
      <c r="J4" s="4" t="s">
        <v>7</v>
      </c>
      <c r="K4" s="4" t="s">
        <v>7</v>
      </c>
      <c r="L4" s="4" t="s">
        <v>7</v>
      </c>
      <c r="M4" s="4" t="s">
        <v>7</v>
      </c>
      <c r="N4" s="4" t="s">
        <v>7</v>
      </c>
      <c r="O4" s="4" t="s">
        <v>7</v>
      </c>
      <c r="P4" s="4" t="s">
        <v>7</v>
      </c>
      <c r="Q4" s="4" t="s">
        <v>7</v>
      </c>
      <c r="R4" s="4" t="s">
        <v>7</v>
      </c>
      <c r="S4" s="4" t="s">
        <v>7</v>
      </c>
      <c r="T4" s="4" t="s">
        <v>7</v>
      </c>
      <c r="U4" s="4" t="s">
        <v>7</v>
      </c>
      <c r="V4" s="4" t="s">
        <v>7</v>
      </c>
      <c r="W4" s="12" t="s">
        <v>7</v>
      </c>
      <c r="X4" s="12" t="s">
        <v>7</v>
      </c>
      <c r="Y4" s="4" t="s">
        <v>7</v>
      </c>
      <c r="Z4" s="4" t="s">
        <v>7</v>
      </c>
      <c r="AA4" s="4" t="s">
        <v>7</v>
      </c>
      <c r="AB4" s="4" t="s">
        <v>7</v>
      </c>
      <c r="AC4" s="12" t="s">
        <v>39</v>
      </c>
      <c r="AD4" s="4" t="s">
        <v>7</v>
      </c>
    </row>
    <row r="5" spans="2:30" ht="15">
      <c r="B5" s="3" t="s">
        <v>8</v>
      </c>
      <c r="C5" s="10"/>
      <c r="E5" s="9" t="s">
        <v>9</v>
      </c>
      <c r="F5" s="4" t="s">
        <v>10</v>
      </c>
      <c r="G5" s="4" t="s">
        <v>10</v>
      </c>
      <c r="H5" s="4" t="s">
        <v>10</v>
      </c>
      <c r="I5" s="4" t="s">
        <v>10</v>
      </c>
      <c r="J5" s="4" t="s">
        <v>10</v>
      </c>
      <c r="K5" s="4" t="s">
        <v>10</v>
      </c>
      <c r="L5" s="4" t="s">
        <v>10</v>
      </c>
      <c r="M5" s="4" t="s">
        <v>10</v>
      </c>
      <c r="N5" s="4" t="s">
        <v>10</v>
      </c>
      <c r="O5" s="4" t="s">
        <v>10</v>
      </c>
      <c r="P5" s="4" t="s">
        <v>10</v>
      </c>
      <c r="Q5" s="4" t="s">
        <v>10</v>
      </c>
      <c r="R5" s="4" t="s">
        <v>10</v>
      </c>
      <c r="S5" s="4" t="s">
        <v>10</v>
      </c>
      <c r="T5" s="4" t="s">
        <v>10</v>
      </c>
      <c r="U5" s="4" t="s">
        <v>10</v>
      </c>
      <c r="V5" s="4" t="s">
        <v>10</v>
      </c>
      <c r="W5" s="4" t="s">
        <v>10</v>
      </c>
      <c r="X5" s="4" t="s">
        <v>10</v>
      </c>
      <c r="Y5" s="4" t="s">
        <v>10</v>
      </c>
      <c r="Z5" s="4" t="s">
        <v>10</v>
      </c>
      <c r="AA5" s="4" t="s">
        <v>10</v>
      </c>
      <c r="AB5" s="4" t="s">
        <v>10</v>
      </c>
      <c r="AC5" s="4" t="s">
        <v>10</v>
      </c>
      <c r="AD5" s="4" t="s">
        <v>10</v>
      </c>
    </row>
    <row r="6" spans="2:30" ht="15">
      <c r="B6" s="3" t="s">
        <v>11</v>
      </c>
      <c r="C6" s="11" t="str">
        <f>IF(COUNT(C5),C5,CONCATENATE(C3,C4))</f>
        <v>-24cy</v>
      </c>
    </row>
    <row r="7" spans="2:30" ht="15">
      <c r="B7" s="3" t="s">
        <v>12</v>
      </c>
      <c r="C7" s="10"/>
      <c r="E7" s="8" t="s">
        <v>13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2:30" ht="15">
      <c r="B8" s="3" t="s">
        <v>14</v>
      </c>
      <c r="C8" s="4" t="s">
        <v>15</v>
      </c>
      <c r="E8" s="9" t="s">
        <v>16</v>
      </c>
      <c r="F8" s="3" t="s">
        <v>46</v>
      </c>
      <c r="G8" s="3" t="s">
        <v>47</v>
      </c>
      <c r="H8" s="3" t="s">
        <v>48</v>
      </c>
      <c r="I8" s="3" t="s">
        <v>49</v>
      </c>
      <c r="J8" s="3" t="s">
        <v>50</v>
      </c>
      <c r="K8" s="3" t="s">
        <v>51</v>
      </c>
      <c r="L8" s="3" t="s">
        <v>52</v>
      </c>
      <c r="M8" s="3" t="s">
        <v>53</v>
      </c>
      <c r="N8" s="3" t="s">
        <v>54</v>
      </c>
      <c r="O8" s="3" t="s">
        <v>55</v>
      </c>
      <c r="P8" s="3" t="s">
        <v>56</v>
      </c>
      <c r="Q8" s="3" t="s">
        <v>57</v>
      </c>
      <c r="R8" s="3" t="s">
        <v>58</v>
      </c>
      <c r="S8" s="3" t="s">
        <v>59</v>
      </c>
      <c r="T8" s="3" t="s">
        <v>60</v>
      </c>
      <c r="U8" s="3" t="s">
        <v>61</v>
      </c>
      <c r="V8" s="3" t="s">
        <v>62</v>
      </c>
      <c r="W8" s="3" t="s">
        <v>63</v>
      </c>
      <c r="X8" s="3" t="s">
        <v>64</v>
      </c>
      <c r="Y8" s="3" t="s">
        <v>65</v>
      </c>
      <c r="Z8" s="3" t="s">
        <v>66</v>
      </c>
      <c r="AA8" s="3" t="s">
        <v>67</v>
      </c>
      <c r="AB8" s="3" t="s">
        <v>68</v>
      </c>
      <c r="AC8" s="3" t="s">
        <v>69</v>
      </c>
      <c r="AD8" s="3" t="s">
        <v>70</v>
      </c>
    </row>
    <row r="9" spans="2:30" ht="15">
      <c r="B9" s="3" t="s">
        <v>17</v>
      </c>
      <c r="C9" s="4" t="b">
        <v>1</v>
      </c>
      <c r="E9" s="9">
        <f>_xll.BDH(CONCATENATE(F3," ",F4),F5,startdate,enddate,"Dir=V","Dts=S",IF(chronological,"Sort=A","Sort=D"),"Quote=C","QtTyp=Y","Days=W",CONCATENATE("Per=",period),CONCATENATE("Fill=",fill),"DtFmt=D","UseDPDF=Y","cols=2;rows=297")</f>
        <v>34334</v>
      </c>
      <c r="F9" s="5">
        <v>108.03</v>
      </c>
      <c r="G9" s="5">
        <f>_xll.BDH(CONCATENATE(G3," ",G4),G5,startdate,enddate,"Dir=V","Dts=H",IF(chronological,"Sort=A","Sort=D"),"Quote=C","QtTyp=Y","Days=W",CONCATENATE("Per=",period),CONCATENATE("Fill=",fill),"DtFmt=D","UseDPDF=Y","cols=1;rows=297")</f>
        <v>214.74969999999999</v>
      </c>
      <c r="H9" s="5">
        <f>_xll.BDH(CONCATENATE(H3," ",H4),H5,startdate,enddate,"Dir=V","Dts=H",IF(chronological,"Sort=A","Sort=D"),"Quote=C","QtTyp=Y","Days=W",CONCATENATE("Per=",period),CONCATENATE("Fill=",fill),"DtFmt=D","UseDPDF=Y","cols=1;rows=297")</f>
        <v>259.69639999999998</v>
      </c>
      <c r="I9" s="5">
        <f>_xll.BDH(CONCATENATE(I3," ",I4),I5,startdate,enddate,"Dir=V","Dts=H",IF(chronological,"Sort=A","Sort=D"),"Quote=C","QtTyp=Y","Days=W",CONCATENATE("Per=",period),CONCATENATE("Fill=",fill),"DtFmt=D","UseDPDF=Y","cols=1;rows=297")</f>
        <v>591.78</v>
      </c>
      <c r="J9" s="5">
        <f>_xll.BDH(CONCATENATE(J3," ",J4),J5,startdate,enddate,"Dir=V","Dts=H",IF(chronological,"Sort=A","Sort=D"),"Quote=C","QtTyp=Y","Days=W",CONCATENATE("Per=",period),CONCATENATE("Fill=",fill),"DtFmt=D","UseDPDF=Y","cols=1;rows=297")</f>
        <v>145.88489999999999</v>
      </c>
      <c r="K9" s="5">
        <f>_xll.BDH(CONCATENATE(K3," ",K4),K5,startdate,enddate,"Dir=V","Dts=H",IF(chronological,"Sort=A","Sort=D"),"Quote=C","QtTyp=Y","Days=W",CONCATENATE("Per=",period),CONCATENATE("Fill=",fill),"DtFmt=D","UseDPDF=Y","cols=1;rows=297")</f>
        <v>607.33000000000004</v>
      </c>
      <c r="L9" s="5">
        <f>_xll.BDH(CONCATENATE(L3," ",L4),L5,startdate,enddate,"Dir=V","Dts=H",IF(chronological,"Sort=A","Sort=D"),"Quote=C","QtTyp=Y","Days=W",CONCATENATE("Per=",period),CONCATENATE("Fill=",fill),"DtFmt=D","UseDPDF=Y","cols=1;rows=297")</f>
        <v>701.84</v>
      </c>
      <c r="M9" s="5">
        <f>_xll.BDH(CONCATENATE(M3," ",M4),M5,startdate,enddate,"Dir=V","Dts=H",IF(chronological,"Sort=A","Sort=D"),"Quote=C","QtTyp=Y","Days=W",CONCATENATE("Per=",period),CONCATENATE("Fill=",fill),"DtFmt=D","UseDPDF=Y","cols=1;rows=297")</f>
        <v>685.09</v>
      </c>
      <c r="N9" s="5">
        <f>_xll.BDH(CONCATENATE(N3," ",N4),N5,startdate,enddate,"Dir=V","Dts=H",IF(chronological,"Sort=A","Sort=D"),"Quote=C","QtTyp=Y","Days=W",CONCATENATE("Per=",period),CONCATENATE("Fill=",fill),"DtFmt=D","UseDPDF=Y","cols=1;rows=297")</f>
        <v>706.31</v>
      </c>
      <c r="O9" s="5">
        <f>_xll.BDH(CONCATENATE(O3," ",O4),O5,startdate,enddate,"Dir=V","Dts=H",IF(chronological,"Sort=A","Sort=D"),"Quote=C","QtTyp=Y","Days=W",CONCATENATE("Per=",period),CONCATENATE("Fill=",fill),"DtFmt=D","UseDPDF=Y","cols=1;rows=297")</f>
        <v>727.94</v>
      </c>
      <c r="P9" s="5">
        <f>_xll.BDH(CONCATENATE(P3," ",P4),P5,startdate,enddate,"Dir=V","Dts=H",IF(chronological,"Sort=A","Sort=D"),"Quote=C","QtTyp=Y","Days=W",CONCATENATE("Per=",period),CONCATENATE("Fill=",fill),"DtFmt=D","UseDPDF=Y","cols=1;rows=297")</f>
        <v>355.6</v>
      </c>
      <c r="Q9" s="5">
        <f>_xll.BDH(CONCATENATE(Q3," ",Q4),Q5,startdate,enddate,"Dir=V","Dts=H",IF(chronological,"Sort=A","Sort=D"),"Quote=C","QtTyp=Y","Days=W",CONCATENATE("Per=",period),CONCATENATE("Fill=",fill),"DtFmt=D","UseDPDF=Y","cols=1;rows=297")</f>
        <v>100</v>
      </c>
      <c r="R9" s="5">
        <f>_xll.BDH(CONCATENATE(R3," ",R4),R5,startdate,enddate,"Dir=V","Dts=H",IF(chronological,"Sort=A","Sort=D"),"Quote=C","QtTyp=Y","Days=W",CONCATENATE("Per=",period),CONCATENATE("Fill=",fill),"DtFmt=D","UseDPDF=Y","cols=1;rows=297")</f>
        <v>466.45</v>
      </c>
      <c r="S9" s="5">
        <f>_xll.BDH(CONCATENATE(S3," ",S4),S5,startdate,enddate,"Dir=V","Dts=H",IF(chronological,"Sort=A","Sort=D"),"Quote=C","QtTyp=Y","Days=W",CONCATENATE("Per=",period),CONCATENATE("Fill=",fill),"DtFmt=D","UseDPDF=Y","cols=1;rows=297")</f>
        <v>598.5</v>
      </c>
      <c r="T9" s="5">
        <f>_xll.BDH(CONCATENATE(T3," ",T4),T5,startdate,enddate,"Dir=V","Dts=H",IF(chronological,"Sort=A","Sort=D"),"Quote=C","QtTyp=Y","Days=W",CONCATENATE("Per=",period),CONCATENATE("Fill=",fill),"DtFmt=D","UseDPDF=Y","cols=1;rows=297")</f>
        <v>151.28</v>
      </c>
      <c r="U9" s="5">
        <f>_xll.BDH(CONCATENATE(U3," ",U4),U5,startdate,enddate,"Dir=V","Dts=H",IF(chronological,"Sort=A","Sort=D"),"Quote=C","QtTyp=Y","Days=W",CONCATENATE("Per=",period),CONCATENATE("Fill=",fill),"DtFmt=D","UseDPDF=Y","cols=1;rows=297")</f>
        <v>539.34</v>
      </c>
      <c r="V9" s="5">
        <f>_xll.BDH(CONCATENATE(V3," ",V4),V5,startdate,enddate,"Dir=V","Dts=H",IF(chronological,"Sort=A","Sort=D"),"Quote=C","QtTyp=Y","Days=W",CONCATENATE("Per=",period),CONCATENATE("Fill=",fill),"DtFmt=D","UseDPDF=Y","cols=1;rows=298")</f>
        <v>1841.5761</v>
      </c>
      <c r="W9" s="5">
        <f>_xll.BDH(CONCATENATE(W3," ",W4),W5,startdate,enddate,"Dir=V","Dts=H",IF(chronological,"Sort=A","Sort=D"),"Quote=C","QtTyp=Y","Days=W",CONCATENATE("Per=",period),CONCATENATE("Fill=",fill),"DtFmt=D","UseDPDF=Y","cols=1;rows=298")</f>
        <v>1942.4477999999999</v>
      </c>
      <c r="X9" s="5">
        <f>_xll.BDH(CONCATENATE(X3," ",X4),X5,startdate,enddate,"Dir=V","Dts=H",IF(chronological,"Sort=A","Sort=D"),"Quote=C","QtTyp=Y","Days=W",CONCATENATE("Per=",period),CONCATENATE("Fill=",fill),"DtFmt=D","UseDPDF=Y","cols=1;rows=298")</f>
        <v>2489.2093</v>
      </c>
      <c r="Y9" s="5">
        <f>_xll.BDH(CONCATENATE(Y3," ",Y4),Y5,startdate,enddate,"Dir=V","Dts=H",IF(chronological,"Sort=A","Sort=D"),"Quote=C","QtTyp=Y","Days=W",CONCATENATE("Per=",period),CONCATENATE("Fill=",fill),"DtFmt=D","UseDPDF=Y","cols=1;rows=298")</f>
        <v>2009.7357999999999</v>
      </c>
      <c r="Z9" s="5">
        <f>_xll.BDH(CONCATENATE(Z3," ",Z4),Z5,startdate,enddate,"Dir=V","Dts=H",IF(chronological,"Sort=A","Sort=D"),"Quote=C","QtTyp=Y","Days=W",CONCATENATE("Per=",period),CONCATENATE("Fill=",fill),"DtFmt=D","UseDPDF=Y","cols=1;rows=298")</f>
        <v>3218.8229000000001</v>
      </c>
      <c r="AA9" s="5">
        <f>_xll.BDH(CONCATENATE(AA3," ",AA4),AA5,startdate,enddate,"Dir=V","Dts=H",IF(chronological,"Sort=A","Sort=D"),"Quote=C","QtTyp=Y","Days=W",CONCATENATE("Per=",period),CONCATENATE("Fill=",fill),"DtFmt=D","UseDPDF=Y","cols=1;rows=297")</f>
        <v>703.57069999999999</v>
      </c>
      <c r="AB9" s="5">
        <f>_xll.BDH(CONCATENATE(AB3," ",AB4),AB5,startdate,enddate,"Dir=V","Dts=H",IF(chronological,"Sort=A","Sort=D"),"Quote=C","QtTyp=Y","Days=W",CONCATENATE("Per=",period),CONCATENATE("Fill=",fill),"DtFmt=D","UseDPDF=Y","cols=1;rows=297")</f>
        <v>6593.29</v>
      </c>
      <c r="AC9" s="5">
        <f>_xll.BDH(CONCATENATE(AC3," ",AC4),AC5,startdate,enddate,"Dir=V","Dts=H",IF(chronological,"Sort=A","Sort=D"),"Quote=C","QtTyp=Y","Days=W",CONCATENATE("Per=",period),CONCATENATE("Fill=",fill),"DtFmt=D","UseDPDF=Y","cols=1;rows=297")</f>
        <v>390.7</v>
      </c>
      <c r="AD9" s="5">
        <f>_xll.BDH(CONCATENATE(AD3," ",AD4),AD5,startdate,enddate,"Dir=V","Dts=H",IF(chronological,"Sort=A","Sort=D"),"Quote=C","QtTyp=Y","Days=W",CONCATENATE("Per=",period),CONCATENATE("Fill=",fill),"DtFmt=D","UseDPDF=Y","cols=1;rows=297")</f>
        <v>96.694000000000003</v>
      </c>
    </row>
    <row r="10" spans="2:30" ht="15">
      <c r="B10" s="3" t="s">
        <v>18</v>
      </c>
      <c r="C10" s="4" t="s">
        <v>19</v>
      </c>
      <c r="E10" s="9">
        <v>34365</v>
      </c>
      <c r="F10" s="5">
        <v>108.36</v>
      </c>
      <c r="G10" s="5">
        <v>216.05080000000001</v>
      </c>
      <c r="H10" s="5">
        <v>263.26519999999999</v>
      </c>
      <c r="I10" s="5">
        <v>599.77</v>
      </c>
      <c r="J10" s="5">
        <v>146.91159999999999</v>
      </c>
      <c r="K10" s="5">
        <v>613.35</v>
      </c>
      <c r="L10" s="5">
        <v>715.46</v>
      </c>
      <c r="M10" s="5">
        <v>700.19</v>
      </c>
      <c r="N10" s="5">
        <v>717.45</v>
      </c>
      <c r="O10" s="5">
        <v>742.18</v>
      </c>
      <c r="P10" s="5">
        <v>363.32</v>
      </c>
      <c r="Q10" s="5">
        <v>101.07</v>
      </c>
      <c r="R10" s="5">
        <v>481.61</v>
      </c>
      <c r="S10" s="5">
        <v>637.01</v>
      </c>
      <c r="T10" s="5">
        <v>161.05000000000001</v>
      </c>
      <c r="U10" s="5">
        <v>548.88</v>
      </c>
      <c r="V10" s="5">
        <v>1861.0968</v>
      </c>
      <c r="W10" s="5">
        <v>2010.6277</v>
      </c>
      <c r="X10" s="5">
        <v>2547.7057</v>
      </c>
      <c r="Y10" s="5">
        <v>2059.5772000000002</v>
      </c>
      <c r="Z10" s="5">
        <v>3286.74</v>
      </c>
      <c r="AA10" s="5">
        <v>724.61030000000005</v>
      </c>
      <c r="AB10" s="5">
        <v>6892.4</v>
      </c>
      <c r="AC10" s="5">
        <v>381.9</v>
      </c>
      <c r="AD10" s="5">
        <v>100.274</v>
      </c>
    </row>
    <row r="11" spans="2:30" ht="15">
      <c r="E11" s="9">
        <v>34393</v>
      </c>
      <c r="F11" s="5">
        <v>108.51</v>
      </c>
      <c r="G11" s="5">
        <v>214.7842</v>
      </c>
      <c r="H11" s="5">
        <v>257.78899999999999</v>
      </c>
      <c r="I11" s="5">
        <v>589.35</v>
      </c>
      <c r="J11" s="5">
        <v>144.1018</v>
      </c>
      <c r="K11" s="5">
        <v>609.07000000000005</v>
      </c>
      <c r="L11" s="5">
        <v>698.57</v>
      </c>
      <c r="M11" s="5">
        <v>683.28</v>
      </c>
      <c r="N11" s="5">
        <v>702.06</v>
      </c>
      <c r="O11" s="5">
        <v>725.57</v>
      </c>
      <c r="P11" s="5">
        <v>362.37</v>
      </c>
      <c r="Q11" s="5">
        <v>92.55</v>
      </c>
      <c r="R11" s="5">
        <v>467.14</v>
      </c>
      <c r="S11" s="5">
        <v>627.79</v>
      </c>
      <c r="T11" s="5">
        <v>158.47</v>
      </c>
      <c r="U11" s="5">
        <v>538.78</v>
      </c>
      <c r="V11" s="5">
        <v>1809.5444</v>
      </c>
      <c r="W11" s="5">
        <v>2000.7755999999999</v>
      </c>
      <c r="X11" s="5">
        <v>2537.5149000000001</v>
      </c>
      <c r="Y11" s="5">
        <v>2068.6394</v>
      </c>
      <c r="Z11" s="5">
        <v>3076.3887</v>
      </c>
      <c r="AA11" s="5">
        <v>749.55740000000003</v>
      </c>
      <c r="AB11" s="5">
        <v>6821.1</v>
      </c>
      <c r="AC11" s="5">
        <v>381.75</v>
      </c>
      <c r="AD11" s="5">
        <v>99.498000000000005</v>
      </c>
    </row>
    <row r="12" spans="2:30" ht="15">
      <c r="E12" s="9">
        <v>34424</v>
      </c>
      <c r="F12" s="5">
        <v>108.79</v>
      </c>
      <c r="G12" s="5">
        <v>213.68600000000001</v>
      </c>
      <c r="H12" s="5">
        <v>251.83690000000001</v>
      </c>
      <c r="I12" s="5">
        <v>574.82000000000005</v>
      </c>
      <c r="J12" s="5">
        <v>141.40780000000001</v>
      </c>
      <c r="K12" s="5">
        <v>593.21</v>
      </c>
      <c r="L12" s="5">
        <v>677.13</v>
      </c>
      <c r="M12" s="5">
        <v>662.01</v>
      </c>
      <c r="N12" s="5">
        <v>684.38</v>
      </c>
      <c r="O12" s="5">
        <v>701.18</v>
      </c>
      <c r="P12" s="5">
        <v>348.68</v>
      </c>
      <c r="Q12" s="5">
        <v>80.05</v>
      </c>
      <c r="R12" s="5">
        <v>445.77</v>
      </c>
      <c r="S12" s="5">
        <v>599.74</v>
      </c>
      <c r="T12" s="5">
        <v>151.07</v>
      </c>
      <c r="U12" s="5">
        <v>489.21</v>
      </c>
      <c r="V12" s="5">
        <v>1763.4011</v>
      </c>
      <c r="W12" s="5">
        <v>1989.7714000000001</v>
      </c>
      <c r="X12" s="5">
        <v>2484.7345999999998</v>
      </c>
      <c r="Y12" s="5">
        <v>2075.4659000000001</v>
      </c>
      <c r="Z12" s="5">
        <v>2970.8685</v>
      </c>
      <c r="AA12" s="5">
        <v>719.38239999999996</v>
      </c>
      <c r="AB12" s="5">
        <v>6455.17</v>
      </c>
      <c r="AC12" s="5">
        <v>391</v>
      </c>
      <c r="AD12" s="5">
        <v>99.716999999999999</v>
      </c>
    </row>
    <row r="13" spans="2:30" ht="15">
      <c r="E13" s="9">
        <v>34453</v>
      </c>
      <c r="F13" s="5">
        <v>109.02</v>
      </c>
      <c r="G13" s="5">
        <v>212.90719999999999</v>
      </c>
      <c r="H13" s="5">
        <v>249.91470000000001</v>
      </c>
      <c r="I13" s="5">
        <v>570.23</v>
      </c>
      <c r="J13" s="5">
        <v>140.39529999999999</v>
      </c>
      <c r="K13" s="5">
        <v>588.84</v>
      </c>
      <c r="L13" s="5">
        <v>670.61</v>
      </c>
      <c r="M13" s="5">
        <v>655.27</v>
      </c>
      <c r="N13" s="5">
        <v>678.67</v>
      </c>
      <c r="O13" s="5">
        <v>694.2</v>
      </c>
      <c r="P13" s="5">
        <v>346.29</v>
      </c>
      <c r="Q13" s="5">
        <v>78.62</v>
      </c>
      <c r="R13" s="5">
        <v>450.91</v>
      </c>
      <c r="S13" s="5">
        <v>617.29999999999995</v>
      </c>
      <c r="T13" s="5">
        <v>154.9</v>
      </c>
      <c r="U13" s="5">
        <v>478.36</v>
      </c>
      <c r="V13" s="5">
        <v>1759.3452</v>
      </c>
      <c r="W13" s="5">
        <v>1975.8430000000001</v>
      </c>
      <c r="X13" s="5">
        <v>2475.5410999999999</v>
      </c>
      <c r="Y13" s="5">
        <v>2066.7489</v>
      </c>
      <c r="Z13" s="5">
        <v>2935.2181</v>
      </c>
      <c r="AA13" s="5">
        <v>731.04859999999996</v>
      </c>
      <c r="AB13" s="5">
        <v>6368.7</v>
      </c>
      <c r="AC13" s="5">
        <v>377.05</v>
      </c>
      <c r="AD13" s="5">
        <v>101.825</v>
      </c>
    </row>
    <row r="14" spans="2:30" ht="15">
      <c r="E14" s="9">
        <v>34485</v>
      </c>
      <c r="F14" s="5">
        <v>109.35</v>
      </c>
      <c r="G14" s="5">
        <v>213.20750000000001</v>
      </c>
      <c r="H14" s="5">
        <v>249.70930000000001</v>
      </c>
      <c r="I14" s="5">
        <v>570.15</v>
      </c>
      <c r="J14" s="5">
        <v>139.68049999999999</v>
      </c>
      <c r="K14" s="5">
        <v>591.16999999999996</v>
      </c>
      <c r="L14" s="5">
        <v>668.14</v>
      </c>
      <c r="M14" s="5">
        <v>653.59</v>
      </c>
      <c r="N14" s="5">
        <v>679.24</v>
      </c>
      <c r="O14" s="5">
        <v>686.79</v>
      </c>
      <c r="P14" s="5">
        <v>346.47</v>
      </c>
      <c r="Q14" s="5">
        <v>84.27</v>
      </c>
      <c r="R14" s="5">
        <v>456.5</v>
      </c>
      <c r="S14" s="5">
        <v>617.91</v>
      </c>
      <c r="T14" s="5">
        <v>155.54</v>
      </c>
      <c r="U14" s="5">
        <v>493.66</v>
      </c>
      <c r="V14" s="5">
        <v>1763.2157999999999</v>
      </c>
      <c r="W14" s="5">
        <v>1994.4159</v>
      </c>
      <c r="X14" s="5">
        <v>2485.6907999999999</v>
      </c>
      <c r="Y14" s="5">
        <v>2063.8555000000001</v>
      </c>
      <c r="Z14" s="5">
        <v>3001.2604999999999</v>
      </c>
      <c r="AA14" s="5">
        <v>745.91340000000002</v>
      </c>
      <c r="AB14" s="5">
        <v>6319.5</v>
      </c>
      <c r="AC14" s="5">
        <v>387.3</v>
      </c>
      <c r="AD14" s="5">
        <v>107.28700000000001</v>
      </c>
    </row>
    <row r="15" spans="2:30" ht="15">
      <c r="E15" s="9">
        <v>34515</v>
      </c>
      <c r="F15" s="5">
        <v>109.78</v>
      </c>
      <c r="G15" s="5">
        <v>213.7936</v>
      </c>
      <c r="H15" s="5">
        <v>249.226</v>
      </c>
      <c r="I15" s="5">
        <v>568.89</v>
      </c>
      <c r="J15" s="5">
        <v>138.94489999999999</v>
      </c>
      <c r="K15" s="5">
        <v>589.89</v>
      </c>
      <c r="L15" s="5">
        <v>666.5</v>
      </c>
      <c r="M15" s="5">
        <v>652.54999999999995</v>
      </c>
      <c r="N15" s="5">
        <v>679</v>
      </c>
      <c r="O15" s="5">
        <v>682.96</v>
      </c>
      <c r="P15" s="5">
        <v>347.54</v>
      </c>
      <c r="Q15" s="5">
        <v>79.28</v>
      </c>
      <c r="R15" s="5">
        <v>444.27</v>
      </c>
      <c r="S15" s="5">
        <v>615.19000000000005</v>
      </c>
      <c r="T15" s="5">
        <v>154.5</v>
      </c>
      <c r="U15" s="5">
        <v>479.18</v>
      </c>
      <c r="V15" s="5">
        <v>1776.9689000000001</v>
      </c>
      <c r="W15" s="5">
        <v>2016.7534000000001</v>
      </c>
      <c r="X15" s="5">
        <v>2475.4994999999999</v>
      </c>
      <c r="Y15" s="5">
        <v>2068.3959</v>
      </c>
      <c r="Z15" s="5">
        <v>3005.7624000000001</v>
      </c>
      <c r="AA15" s="5">
        <v>729.72080000000005</v>
      </c>
      <c r="AB15" s="5">
        <v>6145.74</v>
      </c>
      <c r="AC15" s="5">
        <v>386.3</v>
      </c>
      <c r="AD15" s="5">
        <v>110.32599999999999</v>
      </c>
    </row>
    <row r="16" spans="2:30" ht="15">
      <c r="E16" s="9">
        <v>34544</v>
      </c>
      <c r="F16" s="5">
        <v>110.25</v>
      </c>
      <c r="G16" s="5">
        <v>215.64840000000001</v>
      </c>
      <c r="H16" s="5">
        <v>253.5196</v>
      </c>
      <c r="I16" s="5">
        <v>580.19000000000005</v>
      </c>
      <c r="J16" s="5">
        <v>141.05510000000001</v>
      </c>
      <c r="K16" s="5">
        <v>601.70000000000005</v>
      </c>
      <c r="L16" s="5">
        <v>683.33</v>
      </c>
      <c r="M16" s="5">
        <v>670.32</v>
      </c>
      <c r="N16" s="5">
        <v>692.27</v>
      </c>
      <c r="O16" s="5">
        <v>703.13</v>
      </c>
      <c r="P16" s="5">
        <v>350.49</v>
      </c>
      <c r="Q16" s="5">
        <v>80.959999999999994</v>
      </c>
      <c r="R16" s="5">
        <v>458.26</v>
      </c>
      <c r="S16" s="5">
        <v>625.89</v>
      </c>
      <c r="T16" s="5">
        <v>157.66</v>
      </c>
      <c r="U16" s="5">
        <v>508.73</v>
      </c>
      <c r="V16" s="5">
        <v>1784.9652000000001</v>
      </c>
      <c r="W16" s="5">
        <v>2048.2147</v>
      </c>
      <c r="X16" s="5">
        <v>2498.0264999999999</v>
      </c>
      <c r="Y16" s="5">
        <v>2090.7345999999998</v>
      </c>
      <c r="Z16" s="5">
        <v>3027.1033000000002</v>
      </c>
      <c r="AA16" s="5">
        <v>727.87490000000003</v>
      </c>
      <c r="AB16" s="5">
        <v>6205.48</v>
      </c>
      <c r="AC16" s="5">
        <v>383.6</v>
      </c>
      <c r="AD16" s="5">
        <v>111.82599999999999</v>
      </c>
    </row>
    <row r="17" spans="5:30" ht="15">
      <c r="E17" s="9">
        <v>34577</v>
      </c>
      <c r="F17" s="5">
        <v>110.64</v>
      </c>
      <c r="G17" s="5">
        <v>216.35980000000001</v>
      </c>
      <c r="H17" s="5">
        <v>253.61949999999999</v>
      </c>
      <c r="I17" s="5">
        <v>580.91</v>
      </c>
      <c r="J17" s="5">
        <v>140.6251</v>
      </c>
      <c r="K17" s="5">
        <v>603.6</v>
      </c>
      <c r="L17" s="5">
        <v>684.1</v>
      </c>
      <c r="M17" s="5">
        <v>670.56</v>
      </c>
      <c r="N17" s="5">
        <v>694.29</v>
      </c>
      <c r="O17" s="5">
        <v>702.34</v>
      </c>
      <c r="P17" s="5">
        <v>352.97</v>
      </c>
      <c r="Q17" s="5">
        <v>87.56</v>
      </c>
      <c r="R17" s="5">
        <v>475.49</v>
      </c>
      <c r="S17" s="5">
        <v>643.74</v>
      </c>
      <c r="T17" s="5">
        <v>163</v>
      </c>
      <c r="U17" s="5">
        <v>571.29999999999995</v>
      </c>
      <c r="V17" s="5">
        <v>1804.2429</v>
      </c>
      <c r="W17" s="5">
        <v>2085.2874000000002</v>
      </c>
      <c r="X17" s="5">
        <v>2529.7514000000001</v>
      </c>
      <c r="Y17" s="5">
        <v>2093.6617000000001</v>
      </c>
      <c r="Z17" s="5">
        <v>3105.808</v>
      </c>
      <c r="AA17" s="5">
        <v>731.90620000000001</v>
      </c>
      <c r="AB17" s="5">
        <v>6425.73</v>
      </c>
      <c r="AC17" s="5">
        <v>386.6</v>
      </c>
      <c r="AD17" s="5">
        <v>108.861</v>
      </c>
    </row>
    <row r="18" spans="5:30" ht="15">
      <c r="E18" s="9">
        <v>34607</v>
      </c>
      <c r="F18" s="5">
        <v>111.01</v>
      </c>
      <c r="G18" s="5">
        <v>215.8493</v>
      </c>
      <c r="H18" s="5">
        <v>250.1105</v>
      </c>
      <c r="I18" s="5">
        <v>572.36</v>
      </c>
      <c r="J18" s="5">
        <v>139.40260000000001</v>
      </c>
      <c r="K18" s="5">
        <v>595.01</v>
      </c>
      <c r="L18" s="5">
        <v>671.35</v>
      </c>
      <c r="M18" s="5">
        <v>657.95</v>
      </c>
      <c r="N18" s="5">
        <v>683.91</v>
      </c>
      <c r="O18" s="5">
        <v>686.45</v>
      </c>
      <c r="P18" s="5">
        <v>352.99</v>
      </c>
      <c r="Q18" s="5">
        <v>89.34</v>
      </c>
      <c r="R18" s="5">
        <v>462.69</v>
      </c>
      <c r="S18" s="5">
        <v>625.80999999999995</v>
      </c>
      <c r="T18" s="5">
        <v>158.88999999999999</v>
      </c>
      <c r="U18" s="5">
        <v>577.29</v>
      </c>
      <c r="V18" s="5">
        <v>1814.7075</v>
      </c>
      <c r="W18" s="5">
        <v>2093.8371000000002</v>
      </c>
      <c r="X18" s="5">
        <v>2563.1442000000002</v>
      </c>
      <c r="Y18" s="5">
        <v>2087.7993999999999</v>
      </c>
      <c r="Z18" s="5">
        <v>3102.0810000000001</v>
      </c>
      <c r="AA18" s="5">
        <v>717.03970000000004</v>
      </c>
      <c r="AB18" s="5">
        <v>6510.81</v>
      </c>
      <c r="AC18" s="5">
        <v>394.25</v>
      </c>
      <c r="AD18" s="5">
        <v>109.02500000000001</v>
      </c>
    </row>
    <row r="19" spans="5:30" ht="15">
      <c r="E19" s="9">
        <v>34638</v>
      </c>
      <c r="F19" s="5">
        <v>111.47</v>
      </c>
      <c r="G19" s="5">
        <v>216.3476</v>
      </c>
      <c r="H19" s="5">
        <v>249.8843</v>
      </c>
      <c r="I19" s="5">
        <v>571.85</v>
      </c>
      <c r="J19" s="5">
        <v>139.57499999999999</v>
      </c>
      <c r="K19" s="5">
        <v>594.66999999999996</v>
      </c>
      <c r="L19" s="5">
        <v>669.81</v>
      </c>
      <c r="M19" s="5">
        <v>656.48</v>
      </c>
      <c r="N19" s="5">
        <v>682.63</v>
      </c>
      <c r="O19" s="5">
        <v>684.6</v>
      </c>
      <c r="P19" s="5">
        <v>353.83</v>
      </c>
      <c r="Q19" s="5">
        <v>86.75</v>
      </c>
      <c r="R19" s="5">
        <v>472.35</v>
      </c>
      <c r="S19" s="5">
        <v>642.57000000000005</v>
      </c>
      <c r="T19" s="5">
        <v>162.68</v>
      </c>
      <c r="U19" s="5">
        <v>566.11</v>
      </c>
      <c r="V19" s="5">
        <v>1821.4219000000001</v>
      </c>
      <c r="W19" s="5">
        <v>2085.4616999999998</v>
      </c>
      <c r="X19" s="5">
        <v>2573.3966999999998</v>
      </c>
      <c r="Y19" s="5">
        <v>2090.5135</v>
      </c>
      <c r="Z19" s="5">
        <v>3098.6687000000002</v>
      </c>
      <c r="AA19" s="5">
        <v>690.43790000000001</v>
      </c>
      <c r="AB19" s="5">
        <v>6543.51</v>
      </c>
      <c r="AC19" s="5">
        <v>384.5</v>
      </c>
      <c r="AD19" s="5">
        <v>109.902</v>
      </c>
    </row>
    <row r="20" spans="5:30" ht="15">
      <c r="E20" s="9">
        <v>34668</v>
      </c>
      <c r="F20" s="5">
        <v>111.82</v>
      </c>
      <c r="G20" s="5">
        <v>215.43870000000001</v>
      </c>
      <c r="H20" s="5">
        <v>249.2834</v>
      </c>
      <c r="I20" s="5">
        <v>570.58000000000004</v>
      </c>
      <c r="J20" s="5">
        <v>140.15</v>
      </c>
      <c r="K20" s="5">
        <v>592.80999999999995</v>
      </c>
      <c r="L20" s="5">
        <v>668.71</v>
      </c>
      <c r="M20" s="5">
        <v>656.27</v>
      </c>
      <c r="N20" s="5">
        <v>677.6</v>
      </c>
      <c r="O20" s="5">
        <v>685.93</v>
      </c>
      <c r="P20" s="5">
        <v>349.37</v>
      </c>
      <c r="Q20" s="5">
        <v>87.13</v>
      </c>
      <c r="R20" s="5">
        <v>453.69</v>
      </c>
      <c r="S20" s="5">
        <v>613.67999999999995</v>
      </c>
      <c r="T20" s="5">
        <v>155.33000000000001</v>
      </c>
      <c r="U20" s="5">
        <v>536</v>
      </c>
      <c r="V20" s="5">
        <v>1797.9255000000001</v>
      </c>
      <c r="W20" s="5">
        <v>2058.9764</v>
      </c>
      <c r="X20" s="5">
        <v>2535.3105</v>
      </c>
      <c r="Y20" s="5">
        <v>2091.3497000000002</v>
      </c>
      <c r="Z20" s="5">
        <v>3110.7534999999998</v>
      </c>
      <c r="AA20" s="5">
        <v>668.00490000000002</v>
      </c>
      <c r="AB20" s="5">
        <v>6282.29</v>
      </c>
      <c r="AC20" s="5">
        <v>381.4</v>
      </c>
      <c r="AD20" s="5">
        <v>109.66</v>
      </c>
    </row>
    <row r="21" spans="5:30" ht="15">
      <c r="E21" s="9">
        <v>34698</v>
      </c>
      <c r="F21" s="5">
        <v>112.35</v>
      </c>
      <c r="G21" s="5">
        <v>215.91300000000001</v>
      </c>
      <c r="H21" s="5">
        <v>250.96850000000001</v>
      </c>
      <c r="I21" s="5">
        <v>574.52</v>
      </c>
      <c r="J21" s="5">
        <v>140.66159999999999</v>
      </c>
      <c r="K21" s="5">
        <v>597.54</v>
      </c>
      <c r="L21" s="5">
        <v>674.24</v>
      </c>
      <c r="M21" s="5">
        <v>661.73</v>
      </c>
      <c r="N21" s="5">
        <v>681.56</v>
      </c>
      <c r="O21" s="5">
        <v>693.6</v>
      </c>
      <c r="P21" s="5">
        <v>351.94</v>
      </c>
      <c r="Q21" s="5">
        <v>81.650000000000006</v>
      </c>
      <c r="R21" s="5">
        <v>459.27</v>
      </c>
      <c r="S21" s="5">
        <v>618.59</v>
      </c>
      <c r="T21" s="5">
        <v>155.6</v>
      </c>
      <c r="U21" s="5">
        <v>492.58</v>
      </c>
      <c r="V21" s="5">
        <v>1784.2612999999999</v>
      </c>
      <c r="W21" s="5">
        <v>2058.9764</v>
      </c>
      <c r="X21" s="5">
        <v>2554.0718000000002</v>
      </c>
      <c r="Y21" s="5">
        <v>2090.0949000000001</v>
      </c>
      <c r="Z21" s="5">
        <v>3080.2682</v>
      </c>
      <c r="AA21" s="5">
        <v>709.23829999999998</v>
      </c>
      <c r="AB21" s="5">
        <v>6218.1</v>
      </c>
      <c r="AC21" s="5">
        <v>383.2</v>
      </c>
      <c r="AD21" s="5">
        <v>112.755</v>
      </c>
    </row>
    <row r="22" spans="5:30" ht="15">
      <c r="E22" s="9">
        <v>34730</v>
      </c>
      <c r="F22" s="5">
        <v>112.99</v>
      </c>
      <c r="G22" s="5">
        <v>218.86680000000001</v>
      </c>
      <c r="H22" s="5">
        <v>255.863</v>
      </c>
      <c r="I22" s="5">
        <v>585.89</v>
      </c>
      <c r="J22" s="5">
        <v>142.9162</v>
      </c>
      <c r="K22" s="5">
        <v>610.33000000000004</v>
      </c>
      <c r="L22" s="5">
        <v>688.54</v>
      </c>
      <c r="M22" s="5">
        <v>676.64</v>
      </c>
      <c r="N22" s="5">
        <v>694.59</v>
      </c>
      <c r="O22" s="5">
        <v>709.87</v>
      </c>
      <c r="P22" s="5">
        <v>356.71</v>
      </c>
      <c r="Q22" s="5">
        <v>77.91</v>
      </c>
      <c r="R22" s="5">
        <v>470.42</v>
      </c>
      <c r="S22" s="5">
        <v>608.26</v>
      </c>
      <c r="T22" s="5">
        <v>152.15</v>
      </c>
      <c r="U22" s="5">
        <v>439.84</v>
      </c>
      <c r="V22" s="5">
        <v>1754.9993999999999</v>
      </c>
      <c r="W22" s="5">
        <v>2100.9794999999999</v>
      </c>
      <c r="X22" s="5">
        <v>2561.7339999999999</v>
      </c>
      <c r="Y22" s="5">
        <v>2116.8481000000002</v>
      </c>
      <c r="Z22" s="5">
        <v>3053.4697999999999</v>
      </c>
      <c r="AA22" s="5">
        <v>698.71259999999995</v>
      </c>
      <c r="AB22" s="5">
        <v>6365.97</v>
      </c>
      <c r="AC22" s="5">
        <v>375.1</v>
      </c>
      <c r="AD22" s="5">
        <v>112.10899999999999</v>
      </c>
    </row>
    <row r="23" spans="5:30" ht="15">
      <c r="E23" s="9">
        <v>34758</v>
      </c>
      <c r="F23" s="5">
        <v>113.61</v>
      </c>
      <c r="G23" s="5">
        <v>221.78639999999999</v>
      </c>
      <c r="H23" s="5">
        <v>261.18880000000001</v>
      </c>
      <c r="I23" s="5">
        <v>599.82000000000005</v>
      </c>
      <c r="J23" s="5">
        <v>145.61859999999999</v>
      </c>
      <c r="K23" s="5">
        <v>625.91</v>
      </c>
      <c r="L23" s="5">
        <v>708.39</v>
      </c>
      <c r="M23" s="5">
        <v>696.09</v>
      </c>
      <c r="N23" s="5">
        <v>713.65</v>
      </c>
      <c r="O23" s="5">
        <v>731.02</v>
      </c>
      <c r="P23" s="5">
        <v>368.94</v>
      </c>
      <c r="Q23" s="5">
        <v>74.180000000000007</v>
      </c>
      <c r="R23" s="5">
        <v>487.39</v>
      </c>
      <c r="S23" s="5">
        <v>616.07000000000005</v>
      </c>
      <c r="T23" s="5">
        <v>153.49</v>
      </c>
      <c r="U23" s="5">
        <v>428.11</v>
      </c>
      <c r="V23" s="5">
        <v>1755.7013999999999</v>
      </c>
      <c r="W23" s="5">
        <v>2127.6619000000001</v>
      </c>
      <c r="X23" s="5">
        <v>2604.7710999999999</v>
      </c>
      <c r="Y23" s="5">
        <v>2139.9218000000001</v>
      </c>
      <c r="Z23" s="5">
        <v>3097.7451000000001</v>
      </c>
      <c r="AA23" s="5">
        <v>721.39260000000002</v>
      </c>
      <c r="AB23" s="5">
        <v>6537.17</v>
      </c>
      <c r="AC23" s="5">
        <v>377.1</v>
      </c>
      <c r="AD23" s="5">
        <v>111.96299999999999</v>
      </c>
    </row>
    <row r="24" spans="5:30" ht="15">
      <c r="E24" s="9">
        <v>34789</v>
      </c>
      <c r="F24" s="5">
        <v>114.2</v>
      </c>
      <c r="G24" s="5">
        <v>223.00380000000001</v>
      </c>
      <c r="H24" s="5">
        <v>262.72989999999999</v>
      </c>
      <c r="I24" s="5">
        <v>603.5</v>
      </c>
      <c r="J24" s="5">
        <v>147.1737</v>
      </c>
      <c r="K24" s="5">
        <v>628.86</v>
      </c>
      <c r="L24" s="5">
        <v>714.17</v>
      </c>
      <c r="M24" s="5">
        <v>702.25</v>
      </c>
      <c r="N24" s="5">
        <v>718.83</v>
      </c>
      <c r="O24" s="5">
        <v>737.02</v>
      </c>
      <c r="P24" s="5">
        <v>372.91</v>
      </c>
      <c r="Q24" s="5">
        <v>73</v>
      </c>
      <c r="R24" s="5">
        <v>500.71</v>
      </c>
      <c r="S24" s="5">
        <v>644.66999999999996</v>
      </c>
      <c r="T24" s="5">
        <v>160.21</v>
      </c>
      <c r="U24" s="5">
        <v>429.8</v>
      </c>
      <c r="V24" s="5">
        <v>1774.1362999999999</v>
      </c>
      <c r="W24" s="5">
        <v>2142.3427999999999</v>
      </c>
      <c r="X24" s="5">
        <v>2659.2107999999998</v>
      </c>
      <c r="Y24" s="5">
        <v>2153.4032999999999</v>
      </c>
      <c r="Z24" s="5">
        <v>3141.1136000000001</v>
      </c>
      <c r="AA24" s="5">
        <v>717.0865</v>
      </c>
      <c r="AB24" s="5">
        <v>6683.41</v>
      </c>
      <c r="AC24" s="5">
        <v>391.4</v>
      </c>
      <c r="AD24" s="5">
        <v>114.736</v>
      </c>
    </row>
    <row r="25" spans="5:30" ht="15">
      <c r="E25" s="9">
        <v>34817</v>
      </c>
      <c r="F25" s="5">
        <v>114.8</v>
      </c>
      <c r="G25" s="5">
        <v>224.9588</v>
      </c>
      <c r="H25" s="5">
        <v>266.1035</v>
      </c>
      <c r="I25" s="5">
        <v>611.92999999999995</v>
      </c>
      <c r="J25" s="5">
        <v>149.3535</v>
      </c>
      <c r="K25" s="5">
        <v>637.79999999999995</v>
      </c>
      <c r="L25" s="5">
        <v>726.22</v>
      </c>
      <c r="M25" s="5">
        <v>713.76</v>
      </c>
      <c r="N25" s="5">
        <v>730.51</v>
      </c>
      <c r="O25" s="5">
        <v>749</v>
      </c>
      <c r="P25" s="5">
        <v>382.4</v>
      </c>
      <c r="Q25" s="5">
        <v>80.38</v>
      </c>
      <c r="R25" s="5">
        <v>514.71</v>
      </c>
      <c r="S25" s="5">
        <v>666.04</v>
      </c>
      <c r="T25" s="5">
        <v>165.73</v>
      </c>
      <c r="U25" s="5">
        <v>448.29</v>
      </c>
      <c r="V25" s="5">
        <v>1797.7322999999999</v>
      </c>
      <c r="W25" s="5">
        <v>2187.5462000000002</v>
      </c>
      <c r="X25" s="5">
        <v>2729.4140000000002</v>
      </c>
      <c r="Y25" s="5">
        <v>2187.2116999999998</v>
      </c>
      <c r="Z25" s="5">
        <v>3165.6143000000002</v>
      </c>
      <c r="AA25" s="5">
        <v>718.71280000000002</v>
      </c>
      <c r="AB25" s="5">
        <v>6869.23</v>
      </c>
      <c r="AC25" s="5">
        <v>387.1</v>
      </c>
      <c r="AD25" s="5">
        <v>117.02800000000001</v>
      </c>
    </row>
    <row r="26" spans="5:30" ht="15">
      <c r="E26" s="9">
        <v>34850</v>
      </c>
      <c r="F26" s="5">
        <v>115.44</v>
      </c>
      <c r="G26" s="5">
        <v>228.77869999999999</v>
      </c>
      <c r="H26" s="5">
        <v>276.9384</v>
      </c>
      <c r="I26" s="5">
        <v>635.61</v>
      </c>
      <c r="J26" s="5">
        <v>154.55869999999999</v>
      </c>
      <c r="K26" s="5">
        <v>657.91</v>
      </c>
      <c r="L26" s="5">
        <v>760.45</v>
      </c>
      <c r="M26" s="5">
        <v>747.87</v>
      </c>
      <c r="N26" s="5">
        <v>759.41</v>
      </c>
      <c r="O26" s="5">
        <v>787.64</v>
      </c>
      <c r="P26" s="5">
        <v>393.12</v>
      </c>
      <c r="Q26" s="5">
        <v>87.66</v>
      </c>
      <c r="R26" s="5">
        <v>533.4</v>
      </c>
      <c r="S26" s="5">
        <v>670.63</v>
      </c>
      <c r="T26" s="5">
        <v>167.24</v>
      </c>
      <c r="U26" s="5">
        <v>470.95</v>
      </c>
      <c r="V26" s="5">
        <v>1812.1142</v>
      </c>
      <c r="W26" s="5">
        <v>2227.7970999999998</v>
      </c>
      <c r="X26" s="5">
        <v>2762.7127999999998</v>
      </c>
      <c r="Y26" s="5">
        <v>2203.8344999999999</v>
      </c>
      <c r="Z26" s="5">
        <v>3246.0209</v>
      </c>
      <c r="AA26" s="5">
        <v>751.06870000000004</v>
      </c>
      <c r="AB26" s="5">
        <v>7022.64</v>
      </c>
      <c r="AC26" s="5">
        <v>384.3</v>
      </c>
      <c r="AD26" s="5">
        <v>116.22799999999999</v>
      </c>
    </row>
    <row r="27" spans="5:30" ht="15">
      <c r="E27" s="9">
        <v>34880</v>
      </c>
      <c r="F27" s="5">
        <v>116.05</v>
      </c>
      <c r="G27" s="5">
        <v>230.00890000000001</v>
      </c>
      <c r="H27" s="5">
        <v>279.05650000000003</v>
      </c>
      <c r="I27" s="5">
        <v>640.27</v>
      </c>
      <c r="J27" s="5">
        <v>155.00489999999999</v>
      </c>
      <c r="K27" s="5">
        <v>661.65</v>
      </c>
      <c r="L27" s="5">
        <v>767.3</v>
      </c>
      <c r="M27" s="5">
        <v>755.39</v>
      </c>
      <c r="N27" s="5">
        <v>765.63</v>
      </c>
      <c r="O27" s="5">
        <v>795.27</v>
      </c>
      <c r="P27" s="5">
        <v>395.62</v>
      </c>
      <c r="Q27" s="5">
        <v>88.61</v>
      </c>
      <c r="R27" s="5">
        <v>544.75</v>
      </c>
      <c r="S27" s="5">
        <v>669.32</v>
      </c>
      <c r="T27" s="5">
        <v>166.97</v>
      </c>
      <c r="U27" s="5">
        <v>471.38</v>
      </c>
      <c r="V27" s="5">
        <v>1822.6243999999999</v>
      </c>
      <c r="W27" s="5">
        <v>2260.7685000000001</v>
      </c>
      <c r="X27" s="5">
        <v>2893.3890999999999</v>
      </c>
      <c r="Y27" s="5">
        <v>2241.7404999999999</v>
      </c>
      <c r="Z27" s="5">
        <v>3261.2772</v>
      </c>
      <c r="AA27" s="5">
        <v>764.39430000000004</v>
      </c>
      <c r="AB27" s="5">
        <v>7461.27</v>
      </c>
      <c r="AC27" s="5">
        <v>384.6</v>
      </c>
      <c r="AD27" s="5">
        <v>115.07899999999999</v>
      </c>
    </row>
    <row r="28" spans="5:30" ht="15">
      <c r="E28" s="9">
        <v>34911</v>
      </c>
      <c r="F28" s="5">
        <v>116.6</v>
      </c>
      <c r="G28" s="5">
        <v>230.95760000000001</v>
      </c>
      <c r="H28" s="5">
        <v>278.09859999999998</v>
      </c>
      <c r="I28" s="5">
        <v>638.84</v>
      </c>
      <c r="J28" s="5">
        <v>155.6669</v>
      </c>
      <c r="K28" s="5">
        <v>662.79</v>
      </c>
      <c r="L28" s="5">
        <v>763.91</v>
      </c>
      <c r="M28" s="5">
        <v>752.32</v>
      </c>
      <c r="N28" s="5">
        <v>764.27</v>
      </c>
      <c r="O28" s="5">
        <v>789.78</v>
      </c>
      <c r="P28" s="5">
        <v>400.62</v>
      </c>
      <c r="Q28" s="5">
        <v>88.64</v>
      </c>
      <c r="R28" s="5">
        <v>562.05999999999995</v>
      </c>
      <c r="S28" s="5">
        <v>701.69</v>
      </c>
      <c r="T28" s="5">
        <v>174.74</v>
      </c>
      <c r="U28" s="5">
        <v>481.28</v>
      </c>
      <c r="V28" s="5">
        <v>1844.1314</v>
      </c>
      <c r="W28" s="5">
        <v>2305.5317</v>
      </c>
      <c r="X28" s="5">
        <v>3022.4342999999999</v>
      </c>
      <c r="Y28" s="5">
        <v>2268.1930000000002</v>
      </c>
      <c r="Z28" s="5">
        <v>3389.4454000000001</v>
      </c>
      <c r="AA28" s="5">
        <v>776.33640000000003</v>
      </c>
      <c r="AB28" s="5">
        <v>7973.6</v>
      </c>
      <c r="AC28" s="5">
        <v>382.6</v>
      </c>
      <c r="AD28" s="5">
        <v>117.31399999999999</v>
      </c>
    </row>
    <row r="29" spans="5:30" ht="15">
      <c r="E29" s="9">
        <v>34942</v>
      </c>
      <c r="F29" s="5">
        <v>117.17</v>
      </c>
      <c r="G29" s="5">
        <v>232.2929</v>
      </c>
      <c r="H29" s="5">
        <v>281.2097</v>
      </c>
      <c r="I29" s="5">
        <v>646.54999999999995</v>
      </c>
      <c r="J29" s="5">
        <v>157.37049999999999</v>
      </c>
      <c r="K29" s="5">
        <v>669.65</v>
      </c>
      <c r="L29" s="5">
        <v>776.22</v>
      </c>
      <c r="M29" s="5">
        <v>764.58</v>
      </c>
      <c r="N29" s="5">
        <v>774.55</v>
      </c>
      <c r="O29" s="5">
        <v>804.29</v>
      </c>
      <c r="P29" s="5">
        <v>401.87</v>
      </c>
      <c r="Q29" s="5">
        <v>91.11</v>
      </c>
      <c r="R29" s="5">
        <v>561.88</v>
      </c>
      <c r="S29" s="5">
        <v>684.96</v>
      </c>
      <c r="T29" s="5">
        <v>170.61</v>
      </c>
      <c r="U29" s="5">
        <v>469.28</v>
      </c>
      <c r="V29" s="5">
        <v>1882.4893</v>
      </c>
      <c r="W29" s="5">
        <v>2354.8701000000001</v>
      </c>
      <c r="X29" s="5">
        <v>3110.9915999999998</v>
      </c>
      <c r="Y29" s="5">
        <v>2298.5868</v>
      </c>
      <c r="Z29" s="5">
        <v>3578.9153999999999</v>
      </c>
      <c r="AA29" s="5">
        <v>787.88959999999997</v>
      </c>
      <c r="AB29" s="5">
        <v>8256.44</v>
      </c>
      <c r="AC29" s="5">
        <v>382.75</v>
      </c>
      <c r="AD29" s="5">
        <v>119.31699999999999</v>
      </c>
    </row>
    <row r="30" spans="5:30" ht="15">
      <c r="E30" s="9">
        <v>34971</v>
      </c>
      <c r="F30" s="5">
        <v>117.7</v>
      </c>
      <c r="G30" s="5">
        <v>233.34690000000001</v>
      </c>
      <c r="H30" s="5">
        <v>283.7398</v>
      </c>
      <c r="I30" s="5">
        <v>652.84</v>
      </c>
      <c r="J30" s="5">
        <v>159.13159999999999</v>
      </c>
      <c r="K30" s="5">
        <v>675.54</v>
      </c>
      <c r="L30" s="5">
        <v>785.42</v>
      </c>
      <c r="M30" s="5">
        <v>774.01</v>
      </c>
      <c r="N30" s="5">
        <v>782.71</v>
      </c>
      <c r="O30" s="5">
        <v>813.47</v>
      </c>
      <c r="P30" s="5">
        <v>406.81</v>
      </c>
      <c r="Q30" s="5">
        <v>94.32</v>
      </c>
      <c r="R30" s="5">
        <v>584.41</v>
      </c>
      <c r="S30" s="5">
        <v>703.8</v>
      </c>
      <c r="T30" s="5">
        <v>175</v>
      </c>
      <c r="U30" s="5">
        <v>466.41</v>
      </c>
      <c r="V30" s="5">
        <v>1883.8071</v>
      </c>
      <c r="W30" s="5">
        <v>2398.4351999999999</v>
      </c>
      <c r="X30" s="5">
        <v>3201.2103999999999</v>
      </c>
      <c r="Y30" s="5">
        <v>2330.7669999999998</v>
      </c>
      <c r="Z30" s="5">
        <v>3694.1563999999998</v>
      </c>
      <c r="AA30" s="5">
        <v>802.30719999999997</v>
      </c>
      <c r="AB30" s="5">
        <v>8560.5300000000007</v>
      </c>
      <c r="AC30" s="5">
        <v>384</v>
      </c>
      <c r="AD30" s="5">
        <v>120.453</v>
      </c>
    </row>
    <row r="31" spans="5:30" ht="15">
      <c r="E31" s="9">
        <v>35003</v>
      </c>
      <c r="F31" s="5">
        <v>118.27</v>
      </c>
      <c r="G31" s="5">
        <v>235.30170000000001</v>
      </c>
      <c r="H31" s="5">
        <v>288.1585</v>
      </c>
      <c r="I31" s="5">
        <v>661.33</v>
      </c>
      <c r="J31" s="5">
        <v>161.05600000000001</v>
      </c>
      <c r="K31" s="5">
        <v>681.55</v>
      </c>
      <c r="L31" s="5">
        <v>795.64</v>
      </c>
      <c r="M31" s="5">
        <v>784.14</v>
      </c>
      <c r="N31" s="5">
        <v>792.87</v>
      </c>
      <c r="O31" s="5">
        <v>822.35</v>
      </c>
      <c r="P31" s="5">
        <v>409.32</v>
      </c>
      <c r="Q31" s="5">
        <v>93.41</v>
      </c>
      <c r="R31" s="5">
        <v>581.5</v>
      </c>
      <c r="S31" s="5">
        <v>691.6</v>
      </c>
      <c r="T31" s="5">
        <v>171.78</v>
      </c>
      <c r="U31" s="5">
        <v>448.11</v>
      </c>
      <c r="V31" s="5">
        <v>1863.2736</v>
      </c>
      <c r="W31" s="5">
        <v>2400.5938000000001</v>
      </c>
      <c r="X31" s="5">
        <v>3155.1129999999998</v>
      </c>
      <c r="Y31" s="5">
        <v>2339.1578</v>
      </c>
      <c r="Z31" s="5">
        <v>3709.3024999999998</v>
      </c>
      <c r="AA31" s="5">
        <v>787.54589999999996</v>
      </c>
      <c r="AB31" s="5">
        <v>8148.97</v>
      </c>
      <c r="AC31" s="5">
        <v>383</v>
      </c>
      <c r="AD31" s="5">
        <v>121.48099999999999</v>
      </c>
    </row>
    <row r="32" spans="5:30" ht="15">
      <c r="E32" s="9">
        <v>35033</v>
      </c>
      <c r="F32" s="5">
        <v>118.82</v>
      </c>
      <c r="G32" s="5">
        <v>237.33680000000001</v>
      </c>
      <c r="H32" s="5">
        <v>292.83159999999998</v>
      </c>
      <c r="I32" s="5">
        <v>671.24</v>
      </c>
      <c r="J32" s="5">
        <v>163.89500000000001</v>
      </c>
      <c r="K32" s="5">
        <v>689.34</v>
      </c>
      <c r="L32" s="5">
        <v>810.87</v>
      </c>
      <c r="M32" s="5">
        <v>799.25</v>
      </c>
      <c r="N32" s="5">
        <v>806.79</v>
      </c>
      <c r="O32" s="5">
        <v>838.1</v>
      </c>
      <c r="P32" s="5">
        <v>412.93</v>
      </c>
      <c r="Q32" s="5">
        <v>96.56</v>
      </c>
      <c r="R32" s="5">
        <v>605.37</v>
      </c>
      <c r="S32" s="5">
        <v>714.51</v>
      </c>
      <c r="T32" s="5">
        <v>176.88</v>
      </c>
      <c r="U32" s="5">
        <v>439.69</v>
      </c>
      <c r="V32" s="5">
        <v>1876.1302000000001</v>
      </c>
      <c r="W32" s="5">
        <v>2520.8634999999999</v>
      </c>
      <c r="X32" s="5">
        <v>3263.3332999999998</v>
      </c>
      <c r="Y32" s="5">
        <v>2378.4555999999998</v>
      </c>
      <c r="Z32" s="5">
        <v>3843.9501</v>
      </c>
      <c r="AA32" s="5">
        <v>795.44579999999996</v>
      </c>
      <c r="AB32" s="5">
        <v>8316.2999999999993</v>
      </c>
      <c r="AC32" s="5">
        <v>387.8</v>
      </c>
      <c r="AD32" s="5">
        <v>123.379</v>
      </c>
    </row>
    <row r="33" spans="5:30" ht="15">
      <c r="E33" s="9">
        <v>35062</v>
      </c>
      <c r="F33" s="5">
        <v>119.47</v>
      </c>
      <c r="G33" s="5">
        <v>239.11949999999999</v>
      </c>
      <c r="H33" s="5">
        <v>296.90530000000001</v>
      </c>
      <c r="I33" s="5">
        <v>680.66</v>
      </c>
      <c r="J33" s="5">
        <v>165.99109999999999</v>
      </c>
      <c r="K33" s="5">
        <v>697.95</v>
      </c>
      <c r="L33" s="5">
        <v>824.23</v>
      </c>
      <c r="M33" s="5">
        <v>813.39</v>
      </c>
      <c r="N33" s="5">
        <v>818.22</v>
      </c>
      <c r="O33" s="5">
        <v>851.79</v>
      </c>
      <c r="P33" s="5">
        <v>419.42</v>
      </c>
      <c r="Q33" s="5">
        <v>103.19</v>
      </c>
      <c r="R33" s="5">
        <v>615.92999999999995</v>
      </c>
      <c r="S33" s="5">
        <v>734.28</v>
      </c>
      <c r="T33" s="5">
        <v>181.9</v>
      </c>
      <c r="U33" s="5">
        <v>458.37</v>
      </c>
      <c r="V33" s="5">
        <v>1922.6582000000001</v>
      </c>
      <c r="W33" s="5">
        <v>2576.0704000000001</v>
      </c>
      <c r="X33" s="5">
        <v>3346.8746999999998</v>
      </c>
      <c r="Y33" s="5">
        <v>2417.4623000000001</v>
      </c>
      <c r="Z33" s="5">
        <v>3983.4854999999998</v>
      </c>
      <c r="AA33" s="5">
        <v>839.09270000000004</v>
      </c>
      <c r="AB33" s="5">
        <v>8482.8700000000008</v>
      </c>
      <c r="AC33" s="5">
        <v>387.1</v>
      </c>
      <c r="AD33" s="5">
        <v>129.90799999999999</v>
      </c>
    </row>
    <row r="34" spans="5:30" ht="15">
      <c r="E34" s="9">
        <v>35095</v>
      </c>
      <c r="F34" s="5">
        <v>120.02</v>
      </c>
      <c r="G34" s="5">
        <v>241.11709999999999</v>
      </c>
      <c r="H34" s="5">
        <v>298.82580000000002</v>
      </c>
      <c r="I34" s="5">
        <v>685.17</v>
      </c>
      <c r="J34" s="5">
        <v>167.51140000000001</v>
      </c>
      <c r="K34" s="5">
        <v>703.21</v>
      </c>
      <c r="L34" s="5">
        <v>829.55</v>
      </c>
      <c r="M34" s="5">
        <v>817.03</v>
      </c>
      <c r="N34" s="5">
        <v>826.08</v>
      </c>
      <c r="O34" s="5">
        <v>855.97</v>
      </c>
      <c r="P34" s="5">
        <v>426.8</v>
      </c>
      <c r="Q34" s="5">
        <v>111.99</v>
      </c>
      <c r="R34" s="5">
        <v>636.02</v>
      </c>
      <c r="S34" s="5">
        <v>746.45</v>
      </c>
      <c r="T34" s="5">
        <v>185.64</v>
      </c>
      <c r="U34" s="5">
        <v>490.52</v>
      </c>
      <c r="V34" s="5">
        <v>1965.5335</v>
      </c>
      <c r="W34" s="5">
        <v>2676.2795999999998</v>
      </c>
      <c r="X34" s="5">
        <v>3382.3515000000002</v>
      </c>
      <c r="Y34" s="5">
        <v>2452.7573000000002</v>
      </c>
      <c r="Z34" s="5">
        <v>4193.8136000000004</v>
      </c>
      <c r="AA34" s="5">
        <v>855.16200000000003</v>
      </c>
      <c r="AB34" s="5">
        <v>8584.31</v>
      </c>
      <c r="AC34" s="5">
        <v>406.3</v>
      </c>
      <c r="AD34" s="5">
        <v>130.84200000000001</v>
      </c>
    </row>
    <row r="35" spans="5:30" ht="15">
      <c r="E35" s="9">
        <v>35124</v>
      </c>
      <c r="F35" s="5">
        <v>120.46</v>
      </c>
      <c r="G35" s="5">
        <v>240.3081</v>
      </c>
      <c r="H35" s="5">
        <v>292.89940000000001</v>
      </c>
      <c r="I35" s="5">
        <v>673.27</v>
      </c>
      <c r="J35" s="5">
        <v>165.01499999999999</v>
      </c>
      <c r="K35" s="5">
        <v>697.37</v>
      </c>
      <c r="L35" s="5">
        <v>809.84</v>
      </c>
      <c r="M35" s="5">
        <v>796.29</v>
      </c>
      <c r="N35" s="5">
        <v>811.67</v>
      </c>
      <c r="O35" s="5">
        <v>832.98</v>
      </c>
      <c r="P35" s="5">
        <v>427.14</v>
      </c>
      <c r="Q35" s="5">
        <v>105.56</v>
      </c>
      <c r="R35" s="5">
        <v>640.42999999999995</v>
      </c>
      <c r="S35" s="5">
        <v>749.86</v>
      </c>
      <c r="T35" s="5">
        <v>186.09</v>
      </c>
      <c r="U35" s="5">
        <v>481.92</v>
      </c>
      <c r="V35" s="5">
        <v>1958.8507</v>
      </c>
      <c r="W35" s="5">
        <v>2715.0855999999999</v>
      </c>
      <c r="X35" s="5">
        <v>3477.7338</v>
      </c>
      <c r="Y35" s="5">
        <v>2487.8317000000002</v>
      </c>
      <c r="Z35" s="5">
        <v>4035.7067999999999</v>
      </c>
      <c r="AA35" s="5">
        <v>861.75220000000002</v>
      </c>
      <c r="AB35" s="5">
        <v>8835.9599999999991</v>
      </c>
      <c r="AC35" s="5">
        <v>400.75</v>
      </c>
      <c r="AD35" s="5">
        <v>133.63399999999999</v>
      </c>
    </row>
    <row r="36" spans="5:30" ht="15">
      <c r="E36" s="9">
        <v>35153</v>
      </c>
      <c r="F36" s="5">
        <v>120.93</v>
      </c>
      <c r="G36" s="5">
        <v>240.13069999999999</v>
      </c>
      <c r="H36" s="5">
        <v>290.30759999999998</v>
      </c>
      <c r="I36" s="5">
        <v>668.59</v>
      </c>
      <c r="J36" s="5">
        <v>164.83420000000001</v>
      </c>
      <c r="K36" s="5">
        <v>694.85</v>
      </c>
      <c r="L36" s="5">
        <v>802.94</v>
      </c>
      <c r="M36" s="5">
        <v>789.06</v>
      </c>
      <c r="N36" s="5">
        <v>805.3</v>
      </c>
      <c r="O36" s="5">
        <v>826.95</v>
      </c>
      <c r="P36" s="5">
        <v>426.85</v>
      </c>
      <c r="Q36" s="5">
        <v>107.93</v>
      </c>
      <c r="R36" s="5">
        <v>645.5</v>
      </c>
      <c r="S36" s="5">
        <v>761.18</v>
      </c>
      <c r="T36" s="5">
        <v>188.64</v>
      </c>
      <c r="U36" s="5">
        <v>484.8</v>
      </c>
      <c r="V36" s="5">
        <v>1979.4186</v>
      </c>
      <c r="W36" s="5">
        <v>2766.1291999999999</v>
      </c>
      <c r="X36" s="5">
        <v>3543.8108000000002</v>
      </c>
      <c r="Y36" s="5">
        <v>2516.4418000000001</v>
      </c>
      <c r="Z36" s="5">
        <v>4050.6388999999999</v>
      </c>
      <c r="AA36" s="5">
        <v>860.51499999999999</v>
      </c>
      <c r="AB36" s="5">
        <v>9095.49</v>
      </c>
      <c r="AC36" s="5">
        <v>395.45</v>
      </c>
      <c r="AD36" s="5">
        <v>139.99100000000001</v>
      </c>
    </row>
    <row r="37" spans="5:30" ht="15">
      <c r="E37" s="9">
        <v>35185</v>
      </c>
      <c r="F37" s="5">
        <v>121.44</v>
      </c>
      <c r="G37" s="5">
        <v>240.28919999999999</v>
      </c>
      <c r="H37" s="5">
        <v>288.0351</v>
      </c>
      <c r="I37" s="5">
        <v>664.83</v>
      </c>
      <c r="J37" s="5">
        <v>165.19390000000001</v>
      </c>
      <c r="K37" s="5">
        <v>692.89</v>
      </c>
      <c r="L37" s="5">
        <v>796.28</v>
      </c>
      <c r="M37" s="5">
        <v>781.84</v>
      </c>
      <c r="N37" s="5">
        <v>800.24</v>
      </c>
      <c r="O37" s="5">
        <v>819.21</v>
      </c>
      <c r="P37" s="5">
        <v>427.79</v>
      </c>
      <c r="Q37" s="5">
        <v>113.27</v>
      </c>
      <c r="R37" s="5">
        <v>654.16999999999996</v>
      </c>
      <c r="S37" s="5">
        <v>777.93</v>
      </c>
      <c r="T37" s="5">
        <v>192.9</v>
      </c>
      <c r="U37" s="5">
        <v>502.46</v>
      </c>
      <c r="V37" s="5">
        <v>2049.4899999999998</v>
      </c>
      <c r="W37" s="5">
        <v>2838.6017999999999</v>
      </c>
      <c r="X37" s="5">
        <v>3733.0502999999999</v>
      </c>
      <c r="Y37" s="5">
        <v>2567.7772</v>
      </c>
      <c r="Z37" s="5">
        <v>4176.6138000000001</v>
      </c>
      <c r="AA37" s="5">
        <v>863.30909999999994</v>
      </c>
      <c r="AB37" s="5">
        <v>9844.67</v>
      </c>
      <c r="AC37" s="5">
        <v>391.65</v>
      </c>
      <c r="AD37" s="5">
        <v>146.84700000000001</v>
      </c>
    </row>
    <row r="38" spans="5:30" ht="15">
      <c r="E38" s="9">
        <v>35216</v>
      </c>
      <c r="F38" s="5">
        <v>121.97</v>
      </c>
      <c r="G38" s="5">
        <v>240.94540000000001</v>
      </c>
      <c r="H38" s="5">
        <v>287.97390000000001</v>
      </c>
      <c r="I38" s="5">
        <v>663.48</v>
      </c>
      <c r="J38" s="5">
        <v>165.39619999999999</v>
      </c>
      <c r="K38" s="5">
        <v>690.87</v>
      </c>
      <c r="L38" s="5">
        <v>794.89</v>
      </c>
      <c r="M38" s="5">
        <v>781.32</v>
      </c>
      <c r="N38" s="5">
        <v>798.68</v>
      </c>
      <c r="O38" s="5">
        <v>816.91</v>
      </c>
      <c r="P38" s="5">
        <v>430.36</v>
      </c>
      <c r="Q38" s="5">
        <v>115.03</v>
      </c>
      <c r="R38" s="5">
        <v>669.12</v>
      </c>
      <c r="S38" s="5">
        <v>777.44</v>
      </c>
      <c r="T38" s="5">
        <v>192.76</v>
      </c>
      <c r="U38" s="5">
        <v>498.99</v>
      </c>
      <c r="V38" s="5">
        <v>2070.3948</v>
      </c>
      <c r="W38" s="5">
        <v>2938.8044</v>
      </c>
      <c r="X38" s="5">
        <v>3871.1731</v>
      </c>
      <c r="Y38" s="5">
        <v>2612.4564999999998</v>
      </c>
      <c r="Z38" s="5">
        <v>4173.2725</v>
      </c>
      <c r="AA38" s="5">
        <v>886.74069999999995</v>
      </c>
      <c r="AB38" s="5">
        <v>10547.84</v>
      </c>
      <c r="AC38" s="5">
        <v>391</v>
      </c>
      <c r="AD38" s="5">
        <v>146.185</v>
      </c>
    </row>
    <row r="39" spans="5:30" ht="15">
      <c r="E39" s="9">
        <v>35244</v>
      </c>
      <c r="F39" s="5">
        <v>122.51</v>
      </c>
      <c r="G39" s="5">
        <v>242.6465</v>
      </c>
      <c r="H39" s="5">
        <v>291.55880000000002</v>
      </c>
      <c r="I39" s="5">
        <v>672.39</v>
      </c>
      <c r="J39" s="5">
        <v>167.29249999999999</v>
      </c>
      <c r="K39" s="5">
        <v>700.38</v>
      </c>
      <c r="L39" s="5">
        <v>806.55</v>
      </c>
      <c r="M39" s="5">
        <v>792.82</v>
      </c>
      <c r="N39" s="5">
        <v>808.4</v>
      </c>
      <c r="O39" s="5">
        <v>831.43</v>
      </c>
      <c r="P39" s="5">
        <v>433.92</v>
      </c>
      <c r="Q39" s="5">
        <v>118.22</v>
      </c>
      <c r="R39" s="5">
        <v>670.63</v>
      </c>
      <c r="S39" s="5">
        <v>780.2</v>
      </c>
      <c r="T39" s="5">
        <v>193.48</v>
      </c>
      <c r="U39" s="5">
        <v>501.04</v>
      </c>
      <c r="V39" s="5">
        <v>2075.7777999999998</v>
      </c>
      <c r="W39" s="5">
        <v>2951.4413</v>
      </c>
      <c r="X39" s="5">
        <v>3842.9135999999999</v>
      </c>
      <c r="Y39" s="5">
        <v>2638.3198000000002</v>
      </c>
      <c r="Z39" s="5">
        <v>4129.0357999999997</v>
      </c>
      <c r="AA39" s="5">
        <v>898.95759999999996</v>
      </c>
      <c r="AB39" s="5">
        <v>9976.66</v>
      </c>
      <c r="AC39" s="5">
        <v>380.45</v>
      </c>
      <c r="AD39" s="5">
        <v>145.94200000000001</v>
      </c>
    </row>
    <row r="40" spans="5:30" ht="15">
      <c r="E40" s="9">
        <v>35277</v>
      </c>
      <c r="F40" s="5">
        <v>123.04</v>
      </c>
      <c r="G40" s="5">
        <v>243.5701</v>
      </c>
      <c r="H40" s="5">
        <v>292.19450000000001</v>
      </c>
      <c r="I40" s="5">
        <v>674.23</v>
      </c>
      <c r="J40" s="5">
        <v>168.08359999999999</v>
      </c>
      <c r="K40" s="5">
        <v>702.95</v>
      </c>
      <c r="L40" s="5">
        <v>808.11</v>
      </c>
      <c r="M40" s="5">
        <v>794.26</v>
      </c>
      <c r="N40" s="5">
        <v>809.83</v>
      </c>
      <c r="O40" s="5">
        <v>832.67</v>
      </c>
      <c r="P40" s="5">
        <v>435.94</v>
      </c>
      <c r="Q40" s="5">
        <v>119.49</v>
      </c>
      <c r="R40" s="5">
        <v>639.95000000000005</v>
      </c>
      <c r="S40" s="5">
        <v>751.45</v>
      </c>
      <c r="T40" s="5">
        <v>185.93</v>
      </c>
      <c r="U40" s="5">
        <v>465.87</v>
      </c>
      <c r="V40" s="5">
        <v>2037.3759</v>
      </c>
      <c r="W40" s="5">
        <v>2936.6840999999999</v>
      </c>
      <c r="X40" s="5">
        <v>3732.6219999999998</v>
      </c>
      <c r="Y40" s="5">
        <v>2623.0176000000001</v>
      </c>
      <c r="Z40" s="5">
        <v>4003.5131000000001</v>
      </c>
      <c r="AA40" s="5">
        <v>906.70010000000002</v>
      </c>
      <c r="AB40" s="5">
        <v>8922.99</v>
      </c>
      <c r="AC40" s="5">
        <v>387.05</v>
      </c>
      <c r="AD40" s="5">
        <v>143.87100000000001</v>
      </c>
    </row>
    <row r="41" spans="5:30" ht="15">
      <c r="E41" s="9">
        <v>35307</v>
      </c>
      <c r="F41" s="5">
        <v>123.62</v>
      </c>
      <c r="G41" s="5">
        <v>244.49680000000001</v>
      </c>
      <c r="H41" s="5">
        <v>291.62639999999999</v>
      </c>
      <c r="I41" s="5">
        <v>673.1</v>
      </c>
      <c r="J41" s="5">
        <v>168.71010000000001</v>
      </c>
      <c r="K41" s="5">
        <v>702.94</v>
      </c>
      <c r="L41" s="5">
        <v>805.62</v>
      </c>
      <c r="M41" s="5">
        <v>791.41</v>
      </c>
      <c r="N41" s="5">
        <v>809.25</v>
      </c>
      <c r="O41" s="5">
        <v>827.62</v>
      </c>
      <c r="P41" s="5">
        <v>440.65</v>
      </c>
      <c r="Q41" s="5">
        <v>123.28</v>
      </c>
      <c r="R41" s="5">
        <v>651.99</v>
      </c>
      <c r="S41" s="5">
        <v>758.9</v>
      </c>
      <c r="T41" s="5">
        <v>187.89</v>
      </c>
      <c r="U41" s="5">
        <v>477.13</v>
      </c>
      <c r="V41" s="5">
        <v>2058.7683999999999</v>
      </c>
      <c r="W41" s="5">
        <v>3007.7519000000002</v>
      </c>
      <c r="X41" s="5">
        <v>3830.7899000000002</v>
      </c>
      <c r="Y41" s="5">
        <v>2663.1496999999999</v>
      </c>
      <c r="Z41" s="5">
        <v>4032.7388000000001</v>
      </c>
      <c r="AA41" s="5">
        <v>943.5915</v>
      </c>
      <c r="AB41" s="5">
        <v>9418.0300000000007</v>
      </c>
      <c r="AC41" s="5">
        <v>386.5</v>
      </c>
      <c r="AD41" s="5">
        <v>150.85300000000001</v>
      </c>
    </row>
    <row r="42" spans="5:30" ht="15">
      <c r="E42" s="9">
        <v>35338</v>
      </c>
      <c r="F42" s="5">
        <v>124.23</v>
      </c>
      <c r="G42" s="5">
        <v>246.67920000000001</v>
      </c>
      <c r="H42" s="5">
        <v>296.41989999999998</v>
      </c>
      <c r="I42" s="5">
        <v>684.83</v>
      </c>
      <c r="J42" s="5">
        <v>171.9786</v>
      </c>
      <c r="K42" s="5">
        <v>714.71</v>
      </c>
      <c r="L42" s="5">
        <v>822.7</v>
      </c>
      <c r="M42" s="5">
        <v>808.7</v>
      </c>
      <c r="N42" s="5">
        <v>824.07</v>
      </c>
      <c r="O42" s="5">
        <v>847.69</v>
      </c>
      <c r="P42" s="5">
        <v>451.27</v>
      </c>
      <c r="Q42" s="5">
        <v>130.49</v>
      </c>
      <c r="R42" s="5">
        <v>687.31</v>
      </c>
      <c r="S42" s="5">
        <v>787.44</v>
      </c>
      <c r="T42" s="5">
        <v>194.51</v>
      </c>
      <c r="U42" s="5">
        <v>480.62</v>
      </c>
      <c r="V42" s="5">
        <v>2073.1797999999999</v>
      </c>
      <c r="W42" s="5">
        <v>3067.0046000000002</v>
      </c>
      <c r="X42" s="5">
        <v>3914.3011000000001</v>
      </c>
      <c r="Y42" s="5">
        <v>2684.4549000000002</v>
      </c>
      <c r="Z42" s="5">
        <v>4113.7968000000001</v>
      </c>
      <c r="AA42" s="5">
        <v>959.99800000000005</v>
      </c>
      <c r="AB42" s="5">
        <v>9818.9500000000007</v>
      </c>
      <c r="AC42" s="5">
        <v>378.4</v>
      </c>
      <c r="AD42" s="5">
        <v>151.62100000000001</v>
      </c>
    </row>
    <row r="43" spans="5:30" ht="15">
      <c r="E43" s="9">
        <v>35369</v>
      </c>
      <c r="F43" s="5">
        <v>124.83</v>
      </c>
      <c r="G43" s="5">
        <v>249.4744</v>
      </c>
      <c r="H43" s="5">
        <v>303.09789999999998</v>
      </c>
      <c r="I43" s="5">
        <v>700</v>
      </c>
      <c r="J43" s="5">
        <v>175.33260000000001</v>
      </c>
      <c r="K43" s="5">
        <v>728.73</v>
      </c>
      <c r="L43" s="5">
        <v>845.16</v>
      </c>
      <c r="M43" s="5">
        <v>832.06</v>
      </c>
      <c r="N43" s="5">
        <v>843.18</v>
      </c>
      <c r="O43" s="5">
        <v>872.48</v>
      </c>
      <c r="P43" s="5">
        <v>454.74</v>
      </c>
      <c r="Q43" s="5">
        <v>131.57</v>
      </c>
      <c r="R43" s="5">
        <v>705.27</v>
      </c>
      <c r="S43" s="5">
        <v>791.75</v>
      </c>
      <c r="T43" s="5">
        <v>194.98</v>
      </c>
      <c r="U43" s="5">
        <v>467.43</v>
      </c>
      <c r="V43" s="5">
        <v>2099.7165</v>
      </c>
      <c r="W43" s="5">
        <v>3096.7545</v>
      </c>
      <c r="X43" s="5">
        <v>3975.3642</v>
      </c>
      <c r="Y43" s="5">
        <v>2689.0185000000001</v>
      </c>
      <c r="Z43" s="5">
        <v>4178.7947999999997</v>
      </c>
      <c r="AA43" s="5">
        <v>990.80150000000003</v>
      </c>
      <c r="AB43" s="5">
        <v>9567.69</v>
      </c>
      <c r="AC43" s="5">
        <v>378.05</v>
      </c>
      <c r="AD43" s="5">
        <v>149.50800000000001</v>
      </c>
    </row>
    <row r="44" spans="5:30" ht="15">
      <c r="E44" s="9">
        <v>35398</v>
      </c>
      <c r="F44" s="5">
        <v>125.39</v>
      </c>
      <c r="G44" s="5">
        <v>251.2775</v>
      </c>
      <c r="H44" s="5">
        <v>308.15789999999998</v>
      </c>
      <c r="I44" s="5">
        <v>711.99</v>
      </c>
      <c r="J44" s="5">
        <v>178.56379999999999</v>
      </c>
      <c r="K44" s="5">
        <v>739.16</v>
      </c>
      <c r="L44" s="5">
        <v>863.22</v>
      </c>
      <c r="M44" s="5">
        <v>850.79</v>
      </c>
      <c r="N44" s="5">
        <v>858.05</v>
      </c>
      <c r="O44" s="5">
        <v>892.06</v>
      </c>
      <c r="P44" s="5">
        <v>463.71</v>
      </c>
      <c r="Q44" s="5">
        <v>138.05000000000001</v>
      </c>
      <c r="R44" s="5">
        <v>757.02</v>
      </c>
      <c r="S44" s="5">
        <v>834.93</v>
      </c>
      <c r="T44" s="5">
        <v>205.08</v>
      </c>
      <c r="U44" s="5">
        <v>474.71</v>
      </c>
      <c r="V44" s="5">
        <v>2151.5794999999998</v>
      </c>
      <c r="W44" s="5">
        <v>3159.6185999999998</v>
      </c>
      <c r="X44" s="5">
        <v>4041.3553000000002</v>
      </c>
      <c r="Y44" s="5">
        <v>2716.4465</v>
      </c>
      <c r="Z44" s="5">
        <v>4376.0339000000004</v>
      </c>
      <c r="AA44" s="5">
        <v>1035.8800000000001</v>
      </c>
      <c r="AB44" s="5">
        <v>9736.5400000000009</v>
      </c>
      <c r="AC44" s="5">
        <v>371.65</v>
      </c>
      <c r="AD44" s="5">
        <v>157.84800000000001</v>
      </c>
    </row>
    <row r="45" spans="5:30" ht="15">
      <c r="E45" s="9">
        <v>35430</v>
      </c>
      <c r="F45" s="5">
        <v>125.92</v>
      </c>
      <c r="G45" s="5">
        <v>251.3134</v>
      </c>
      <c r="H45" s="5">
        <v>305.02190000000002</v>
      </c>
      <c r="I45" s="5">
        <v>705.37</v>
      </c>
      <c r="J45" s="5">
        <v>177.7346</v>
      </c>
      <c r="K45" s="5">
        <v>735.29</v>
      </c>
      <c r="L45" s="5">
        <v>851.3</v>
      </c>
      <c r="M45" s="5">
        <v>838.44</v>
      </c>
      <c r="N45" s="5">
        <v>848.9</v>
      </c>
      <c r="O45" s="5">
        <v>877.71</v>
      </c>
      <c r="P45" s="5">
        <v>467.03</v>
      </c>
      <c r="Q45" s="5">
        <v>139.55000000000001</v>
      </c>
      <c r="R45" s="5">
        <v>740.74</v>
      </c>
      <c r="S45" s="5">
        <v>820.36</v>
      </c>
      <c r="T45" s="5">
        <v>201.78</v>
      </c>
      <c r="U45" s="5">
        <v>476.31</v>
      </c>
      <c r="V45" s="5">
        <v>2169.0073000000002</v>
      </c>
      <c r="W45" s="5">
        <v>3215.8598000000002</v>
      </c>
      <c r="X45" s="5">
        <v>4074.8984999999998</v>
      </c>
      <c r="Y45" s="5">
        <v>2767.7873</v>
      </c>
      <c r="Z45" s="5">
        <v>4354.5914000000002</v>
      </c>
      <c r="AA45" s="5">
        <v>1139.098</v>
      </c>
      <c r="AB45" s="5">
        <v>9994</v>
      </c>
      <c r="AC45" s="5">
        <v>367.7</v>
      </c>
      <c r="AD45" s="5">
        <v>160.001</v>
      </c>
    </row>
    <row r="46" spans="5:30" ht="15">
      <c r="E46" s="9">
        <v>35461</v>
      </c>
      <c r="F46" s="5">
        <v>126.49</v>
      </c>
      <c r="G46" s="5">
        <v>252.51390000000001</v>
      </c>
      <c r="H46" s="5">
        <v>305.48700000000002</v>
      </c>
      <c r="I46" s="5">
        <v>707.53</v>
      </c>
      <c r="J46" s="5">
        <v>178.89529999999999</v>
      </c>
      <c r="K46" s="5">
        <v>740.75</v>
      </c>
      <c r="L46" s="5">
        <v>852.5</v>
      </c>
      <c r="M46" s="5">
        <v>838.91</v>
      </c>
      <c r="N46" s="5">
        <v>852.06</v>
      </c>
      <c r="O46" s="5">
        <v>877.92</v>
      </c>
      <c r="P46" s="5">
        <v>471.59</v>
      </c>
      <c r="Q46" s="5">
        <v>143.79</v>
      </c>
      <c r="R46" s="5">
        <v>786.16</v>
      </c>
      <c r="S46" s="5">
        <v>829.08</v>
      </c>
      <c r="T46" s="5">
        <v>204.86</v>
      </c>
      <c r="U46" s="5">
        <v>508.42</v>
      </c>
      <c r="V46" s="5">
        <v>2254.8998999999999</v>
      </c>
      <c r="W46" s="5">
        <v>3307.1903000000002</v>
      </c>
      <c r="X46" s="5">
        <v>4188.1806999999999</v>
      </c>
      <c r="Y46" s="5">
        <v>2805.9828000000002</v>
      </c>
      <c r="Z46" s="5">
        <v>4578.4173000000001</v>
      </c>
      <c r="AA46" s="5">
        <v>1151.7829999999999</v>
      </c>
      <c r="AB46" s="5">
        <v>10461.23</v>
      </c>
      <c r="AC46" s="5">
        <v>344.35</v>
      </c>
      <c r="AD46" s="5">
        <v>161.02500000000001</v>
      </c>
    </row>
    <row r="47" spans="5:30" ht="15">
      <c r="E47" s="9">
        <v>35489</v>
      </c>
      <c r="F47" s="5">
        <v>126.98</v>
      </c>
      <c r="G47" s="5">
        <v>253.10140000000001</v>
      </c>
      <c r="H47" s="5">
        <v>305.63350000000003</v>
      </c>
      <c r="I47" s="5">
        <v>709.29</v>
      </c>
      <c r="J47" s="5">
        <v>179.6114</v>
      </c>
      <c r="K47" s="5">
        <v>743.22</v>
      </c>
      <c r="L47" s="5">
        <v>856.07</v>
      </c>
      <c r="M47" s="5">
        <v>842.73</v>
      </c>
      <c r="N47" s="5">
        <v>855.2</v>
      </c>
      <c r="O47" s="5">
        <v>882.97</v>
      </c>
      <c r="P47" s="5">
        <v>479.39</v>
      </c>
      <c r="Q47" s="5">
        <v>146.13</v>
      </c>
      <c r="R47" s="5">
        <v>790.82</v>
      </c>
      <c r="S47" s="5">
        <v>837.44</v>
      </c>
      <c r="T47" s="5">
        <v>207.34</v>
      </c>
      <c r="U47" s="5">
        <v>529.86</v>
      </c>
      <c r="V47" s="5">
        <v>2301.1253999999999</v>
      </c>
      <c r="W47" s="5">
        <v>3337.9470999999999</v>
      </c>
      <c r="X47" s="5">
        <v>4178.1291000000001</v>
      </c>
      <c r="Y47" s="5">
        <v>2836.5680000000002</v>
      </c>
      <c r="Z47" s="5">
        <v>4651.2142000000003</v>
      </c>
      <c r="AA47" s="5">
        <v>1152.771</v>
      </c>
      <c r="AB47" s="5">
        <v>10153.44</v>
      </c>
      <c r="AC47" s="5">
        <v>363.45</v>
      </c>
      <c r="AD47" s="5">
        <v>162.71299999999999</v>
      </c>
    </row>
    <row r="48" spans="5:30" ht="15">
      <c r="E48" s="9">
        <v>35520</v>
      </c>
      <c r="F48" s="5">
        <v>127.49</v>
      </c>
      <c r="G48" s="5">
        <v>253.02279999999999</v>
      </c>
      <c r="H48" s="5">
        <v>302.5951</v>
      </c>
      <c r="I48" s="5">
        <v>701.43</v>
      </c>
      <c r="J48" s="5">
        <v>178.0428</v>
      </c>
      <c r="K48" s="5">
        <v>736.22</v>
      </c>
      <c r="L48" s="5">
        <v>842.74</v>
      </c>
      <c r="M48" s="5">
        <v>828.42</v>
      </c>
      <c r="N48" s="5">
        <v>844.43</v>
      </c>
      <c r="O48" s="5">
        <v>869.09</v>
      </c>
      <c r="P48" s="5">
        <v>472.25</v>
      </c>
      <c r="Q48" s="5">
        <v>141.26</v>
      </c>
      <c r="R48" s="5">
        <v>757.12</v>
      </c>
      <c r="S48" s="5">
        <v>819.68</v>
      </c>
      <c r="T48" s="5">
        <v>202.84</v>
      </c>
      <c r="U48" s="5">
        <v>514.61</v>
      </c>
      <c r="V48" s="5">
        <v>2280.6453999999999</v>
      </c>
      <c r="W48" s="5">
        <v>3320.2559999999999</v>
      </c>
      <c r="X48" s="5">
        <v>4147.6287000000002</v>
      </c>
      <c r="Y48" s="5">
        <v>2817.8467000000001</v>
      </c>
      <c r="Z48" s="5">
        <v>4593.5391</v>
      </c>
      <c r="AA48" s="5">
        <v>1142.106</v>
      </c>
      <c r="AB48" s="5">
        <v>9584.81</v>
      </c>
      <c r="AC48" s="5">
        <v>351.25</v>
      </c>
      <c r="AD48" s="5">
        <v>166.108</v>
      </c>
    </row>
    <row r="49" spans="5:30" ht="15">
      <c r="E49" s="9">
        <v>35550</v>
      </c>
      <c r="F49" s="5">
        <v>128.11000000000001</v>
      </c>
      <c r="G49" s="5">
        <v>254.9939</v>
      </c>
      <c r="H49" s="5">
        <v>306.76150000000001</v>
      </c>
      <c r="I49" s="5">
        <v>711.93</v>
      </c>
      <c r="J49" s="5">
        <v>180.4049</v>
      </c>
      <c r="K49" s="5">
        <v>747.96</v>
      </c>
      <c r="L49" s="5">
        <v>855.51</v>
      </c>
      <c r="M49" s="5">
        <v>840.96</v>
      </c>
      <c r="N49" s="5">
        <v>855.33</v>
      </c>
      <c r="O49" s="5">
        <v>884.45</v>
      </c>
      <c r="P49" s="5">
        <v>477.23</v>
      </c>
      <c r="Q49" s="5">
        <v>145.41</v>
      </c>
      <c r="R49" s="5">
        <v>801.34</v>
      </c>
      <c r="S49" s="5">
        <v>845.28</v>
      </c>
      <c r="T49" s="5">
        <v>208.99</v>
      </c>
      <c r="U49" s="5">
        <v>513.70000000000005</v>
      </c>
      <c r="V49" s="5">
        <v>2283.3820999999998</v>
      </c>
      <c r="W49" s="5">
        <v>3292.6979000000001</v>
      </c>
      <c r="X49" s="5">
        <v>4136.4300999999996</v>
      </c>
      <c r="Y49" s="5">
        <v>2854.4787000000001</v>
      </c>
      <c r="Z49" s="5">
        <v>4583.4332999999997</v>
      </c>
      <c r="AA49" s="5">
        <v>1116.0730000000001</v>
      </c>
      <c r="AB49" s="5">
        <v>9204.25</v>
      </c>
      <c r="AC49" s="5">
        <v>339.5</v>
      </c>
      <c r="AD49" s="5">
        <v>167.41499999999999</v>
      </c>
    </row>
    <row r="50" spans="5:30" ht="15">
      <c r="E50" s="9">
        <v>35580</v>
      </c>
      <c r="F50" s="5">
        <v>128.79</v>
      </c>
      <c r="G50" s="5">
        <v>256.74520000000001</v>
      </c>
      <c r="H50" s="5">
        <v>309.44819999999999</v>
      </c>
      <c r="I50" s="5">
        <v>718.66</v>
      </c>
      <c r="J50" s="5">
        <v>181.8939</v>
      </c>
      <c r="K50" s="5">
        <v>755.28</v>
      </c>
      <c r="L50" s="5">
        <v>865.2</v>
      </c>
      <c r="M50" s="5">
        <v>851.32</v>
      </c>
      <c r="N50" s="5">
        <v>864.85</v>
      </c>
      <c r="O50" s="5">
        <v>893.46</v>
      </c>
      <c r="P50" s="5">
        <v>487.44</v>
      </c>
      <c r="Q50" s="5">
        <v>150.34</v>
      </c>
      <c r="R50" s="5">
        <v>848.28</v>
      </c>
      <c r="S50" s="5">
        <v>896.24</v>
      </c>
      <c r="T50" s="5">
        <v>221.11</v>
      </c>
      <c r="U50" s="5">
        <v>527.01</v>
      </c>
      <c r="V50" s="5">
        <v>2308.2710000000002</v>
      </c>
      <c r="W50" s="5">
        <v>3436.2595000000001</v>
      </c>
      <c r="X50" s="5">
        <v>4344.9062000000004</v>
      </c>
      <c r="Y50" s="5">
        <v>2906.7156</v>
      </c>
      <c r="Z50" s="5">
        <v>4667.3101999999999</v>
      </c>
      <c r="AA50" s="5">
        <v>1151.788</v>
      </c>
      <c r="AB50" s="5">
        <v>10143.370000000001</v>
      </c>
      <c r="AC50" s="5">
        <v>344.65</v>
      </c>
      <c r="AD50" s="5">
        <v>169.88499999999999</v>
      </c>
    </row>
    <row r="51" spans="5:30" ht="15">
      <c r="E51" s="9">
        <v>35611</v>
      </c>
      <c r="F51" s="5">
        <v>129.35</v>
      </c>
      <c r="G51" s="5">
        <v>258.51549999999997</v>
      </c>
      <c r="H51" s="5">
        <v>312.91379999999998</v>
      </c>
      <c r="I51" s="5">
        <v>727.19</v>
      </c>
      <c r="J51" s="5">
        <v>184.4042</v>
      </c>
      <c r="K51" s="5">
        <v>764.09</v>
      </c>
      <c r="L51" s="5">
        <v>877.45</v>
      </c>
      <c r="M51" s="5">
        <v>864.6</v>
      </c>
      <c r="N51" s="5">
        <v>874.77</v>
      </c>
      <c r="O51" s="5">
        <v>907.23</v>
      </c>
      <c r="P51" s="5">
        <v>494.2</v>
      </c>
      <c r="Q51" s="5">
        <v>153.63</v>
      </c>
      <c r="R51" s="5">
        <v>885.14</v>
      </c>
      <c r="S51" s="5">
        <v>939.75</v>
      </c>
      <c r="T51" s="5">
        <v>232.08</v>
      </c>
      <c r="U51" s="5">
        <v>554.12</v>
      </c>
      <c r="V51" s="5">
        <v>2374.2876000000001</v>
      </c>
      <c r="W51" s="5">
        <v>3527.3204000000001</v>
      </c>
      <c r="X51" s="5">
        <v>4430.5009</v>
      </c>
      <c r="Y51" s="5">
        <v>2962.8152</v>
      </c>
      <c r="Z51" s="5">
        <v>4752.2551999999996</v>
      </c>
      <c r="AA51" s="5">
        <v>1207.0719999999999</v>
      </c>
      <c r="AB51" s="5">
        <v>10718.61</v>
      </c>
      <c r="AC51" s="5">
        <v>333.95</v>
      </c>
      <c r="AD51" s="5">
        <v>160.12100000000001</v>
      </c>
    </row>
    <row r="52" spans="5:30" ht="15">
      <c r="E52" s="9">
        <v>35642</v>
      </c>
      <c r="F52" s="5">
        <v>129.97</v>
      </c>
      <c r="G52" s="5">
        <v>261.33359999999999</v>
      </c>
      <c r="H52" s="5">
        <v>321.9042</v>
      </c>
      <c r="I52" s="5">
        <v>746.79</v>
      </c>
      <c r="J52" s="5">
        <v>188.4134</v>
      </c>
      <c r="K52" s="5">
        <v>778.49</v>
      </c>
      <c r="L52" s="5">
        <v>909.56</v>
      </c>
      <c r="M52" s="5">
        <v>899.01</v>
      </c>
      <c r="N52" s="5">
        <v>900.81</v>
      </c>
      <c r="O52" s="5">
        <v>943.27</v>
      </c>
      <c r="P52" s="5">
        <v>507.77</v>
      </c>
      <c r="Q52" s="5">
        <v>159.97999999999999</v>
      </c>
      <c r="R52" s="5">
        <v>954.29</v>
      </c>
      <c r="S52" s="5">
        <v>981.84</v>
      </c>
      <c r="T52" s="5">
        <v>242.24</v>
      </c>
      <c r="U52" s="5">
        <v>561.32000000000005</v>
      </c>
      <c r="V52" s="5">
        <v>2461.6613000000002</v>
      </c>
      <c r="W52" s="5">
        <v>3623.2635</v>
      </c>
      <c r="X52" s="5">
        <v>4654.2412000000004</v>
      </c>
      <c r="Y52" s="5">
        <v>3009.3314</v>
      </c>
      <c r="Z52" s="5">
        <v>5032.6382999999996</v>
      </c>
      <c r="AA52" s="5">
        <v>1243.1949999999999</v>
      </c>
      <c r="AB52" s="5">
        <v>11282.26</v>
      </c>
      <c r="AC52" s="5">
        <v>324.55</v>
      </c>
      <c r="AD52" s="5">
        <v>165.31899999999999</v>
      </c>
    </row>
    <row r="53" spans="5:30" ht="15">
      <c r="E53" s="9">
        <v>35671</v>
      </c>
      <c r="F53" s="5">
        <v>130.54</v>
      </c>
      <c r="G53" s="5">
        <v>261.60649999999998</v>
      </c>
      <c r="H53" s="5">
        <v>318.59989999999999</v>
      </c>
      <c r="I53" s="5">
        <v>740.43</v>
      </c>
      <c r="J53" s="5">
        <v>187.5273</v>
      </c>
      <c r="K53" s="5">
        <v>776.65</v>
      </c>
      <c r="L53" s="5">
        <v>896.13</v>
      </c>
      <c r="M53" s="5">
        <v>884.15</v>
      </c>
      <c r="N53" s="5">
        <v>890.93</v>
      </c>
      <c r="O53" s="5">
        <v>927.94</v>
      </c>
      <c r="P53" s="5">
        <v>506.62</v>
      </c>
      <c r="Q53" s="5">
        <v>159.21</v>
      </c>
      <c r="R53" s="5">
        <v>899.47</v>
      </c>
      <c r="S53" s="5">
        <v>914.97</v>
      </c>
      <c r="T53" s="5">
        <v>224.92</v>
      </c>
      <c r="U53" s="5">
        <v>489.24</v>
      </c>
      <c r="V53" s="5">
        <v>2454.0302000000001</v>
      </c>
      <c r="W53" s="5">
        <v>3642.1044999999999</v>
      </c>
      <c r="X53" s="5">
        <v>4717.0734000000002</v>
      </c>
      <c r="Y53" s="5">
        <v>3052.3649</v>
      </c>
      <c r="Z53" s="5">
        <v>4969.7303000000002</v>
      </c>
      <c r="AA53" s="5">
        <v>1240.704</v>
      </c>
      <c r="AB53" s="5">
        <v>11777.21</v>
      </c>
      <c r="AC53" s="5">
        <v>324.14999999999998</v>
      </c>
      <c r="AD53" s="5">
        <v>165.15299999999999</v>
      </c>
    </row>
    <row r="54" spans="5:30" ht="15">
      <c r="E54" s="9">
        <v>35703</v>
      </c>
      <c r="F54" s="5">
        <v>131.16</v>
      </c>
      <c r="G54" s="5">
        <v>263.60210000000001</v>
      </c>
      <c r="H54" s="5">
        <v>323.49250000000001</v>
      </c>
      <c r="I54" s="5">
        <v>751.35</v>
      </c>
      <c r="J54" s="5">
        <v>190.5341</v>
      </c>
      <c r="K54" s="5">
        <v>786.49</v>
      </c>
      <c r="L54" s="5">
        <v>911.81</v>
      </c>
      <c r="M54" s="5">
        <v>900.44</v>
      </c>
      <c r="N54" s="5">
        <v>904.76</v>
      </c>
      <c r="O54" s="5">
        <v>945.37</v>
      </c>
      <c r="P54" s="5">
        <v>516.66</v>
      </c>
      <c r="Q54" s="5">
        <v>163.62</v>
      </c>
      <c r="R54" s="5">
        <v>947.28</v>
      </c>
      <c r="S54" s="5">
        <v>963.49</v>
      </c>
      <c r="T54" s="5">
        <v>236.58</v>
      </c>
      <c r="U54" s="5">
        <v>502.05</v>
      </c>
      <c r="V54" s="5">
        <v>2522.4976000000001</v>
      </c>
      <c r="W54" s="5">
        <v>3772.8560000000002</v>
      </c>
      <c r="X54" s="5">
        <v>4985.4749000000002</v>
      </c>
      <c r="Y54" s="5">
        <v>3109.1388999999999</v>
      </c>
      <c r="Z54" s="5">
        <v>5121.3071</v>
      </c>
      <c r="AA54" s="5">
        <v>1339.809</v>
      </c>
      <c r="AB54" s="5">
        <v>12956.14</v>
      </c>
      <c r="AC54" s="5">
        <v>334.45</v>
      </c>
      <c r="AD54" s="5">
        <v>167.00200000000001</v>
      </c>
    </row>
    <row r="55" spans="5:30" ht="15">
      <c r="E55" s="9">
        <v>35734</v>
      </c>
      <c r="F55" s="5">
        <v>131.74</v>
      </c>
      <c r="G55" s="5">
        <v>265.56849999999997</v>
      </c>
      <c r="H55" s="5">
        <v>329.13690000000003</v>
      </c>
      <c r="I55" s="5">
        <v>762.25</v>
      </c>
      <c r="J55" s="5">
        <v>192.57509999999999</v>
      </c>
      <c r="K55" s="5">
        <v>795.21</v>
      </c>
      <c r="L55" s="5">
        <v>923.37</v>
      </c>
      <c r="M55" s="5">
        <v>913.61</v>
      </c>
      <c r="N55" s="5">
        <v>915.36</v>
      </c>
      <c r="O55" s="5">
        <v>958.77</v>
      </c>
      <c r="P55" s="5">
        <v>517.12</v>
      </c>
      <c r="Q55" s="5">
        <v>146.29</v>
      </c>
      <c r="R55" s="5">
        <v>914.62</v>
      </c>
      <c r="S55" s="5">
        <v>911.57</v>
      </c>
      <c r="T55" s="5">
        <v>222.17</v>
      </c>
      <c r="U55" s="5">
        <v>419.26</v>
      </c>
      <c r="V55" s="5">
        <v>2465.2368999999999</v>
      </c>
      <c r="W55" s="5">
        <v>3789.8339000000001</v>
      </c>
      <c r="X55" s="5">
        <v>5004.9183000000003</v>
      </c>
      <c r="Y55" s="5">
        <v>3138.9866000000002</v>
      </c>
      <c r="Z55" s="5">
        <v>5039.3662000000004</v>
      </c>
      <c r="AA55" s="5">
        <v>1305.6669999999999</v>
      </c>
      <c r="AB55" s="5">
        <v>12539.63</v>
      </c>
      <c r="AC55" s="5">
        <v>311.45</v>
      </c>
      <c r="AD55" s="5">
        <v>167.66399999999999</v>
      </c>
    </row>
    <row r="56" spans="5:30" ht="15">
      <c r="E56" s="9">
        <v>35762</v>
      </c>
      <c r="F56" s="5">
        <v>132.28</v>
      </c>
      <c r="G56" s="5">
        <v>266.2296</v>
      </c>
      <c r="H56" s="5">
        <v>330.8614</v>
      </c>
      <c r="I56" s="5">
        <v>765.76</v>
      </c>
      <c r="J56" s="5">
        <v>193.71539999999999</v>
      </c>
      <c r="K56" s="5">
        <v>797.82</v>
      </c>
      <c r="L56" s="5">
        <v>928.58</v>
      </c>
      <c r="M56" s="5">
        <v>919.98</v>
      </c>
      <c r="N56" s="5">
        <v>919.62</v>
      </c>
      <c r="O56" s="5">
        <v>965.06</v>
      </c>
      <c r="P56" s="5">
        <v>522.05999999999995</v>
      </c>
      <c r="Q56" s="5">
        <v>152.49</v>
      </c>
      <c r="R56" s="5">
        <v>955.4</v>
      </c>
      <c r="S56" s="5">
        <v>926.5</v>
      </c>
      <c r="T56" s="5">
        <v>225.26</v>
      </c>
      <c r="U56" s="5">
        <v>403.67</v>
      </c>
      <c r="V56" s="5">
        <v>2444.529</v>
      </c>
      <c r="W56" s="5">
        <v>3841.3755999999998</v>
      </c>
      <c r="X56" s="5">
        <v>4958.3725000000004</v>
      </c>
      <c r="Y56" s="5">
        <v>3180.1073000000001</v>
      </c>
      <c r="Z56" s="5">
        <v>5026.7677000000003</v>
      </c>
      <c r="AA56" s="5">
        <v>1327.8040000000001</v>
      </c>
      <c r="AB56" s="5">
        <v>12292.72</v>
      </c>
      <c r="AC56" s="5">
        <v>297</v>
      </c>
      <c r="AD56" s="5">
        <v>161.00800000000001</v>
      </c>
    </row>
    <row r="57" spans="5:30" ht="15">
      <c r="E57" s="9">
        <v>35795</v>
      </c>
      <c r="F57" s="5">
        <v>132.88</v>
      </c>
      <c r="G57" s="5">
        <v>268.04199999999997</v>
      </c>
      <c r="H57" s="5">
        <v>334.41969999999998</v>
      </c>
      <c r="I57" s="5">
        <v>773.47</v>
      </c>
      <c r="J57" s="5">
        <v>195.80369999999999</v>
      </c>
      <c r="K57" s="5">
        <v>805.09</v>
      </c>
      <c r="L57" s="5">
        <v>938.42</v>
      </c>
      <c r="M57" s="5">
        <v>932.11</v>
      </c>
      <c r="N57" s="5">
        <v>929.96</v>
      </c>
      <c r="O57" s="5">
        <v>977.71</v>
      </c>
      <c r="P57" s="5">
        <v>526.64</v>
      </c>
      <c r="Q57" s="5">
        <v>156.22</v>
      </c>
      <c r="R57" s="5">
        <v>970.43</v>
      </c>
      <c r="S57" s="5">
        <v>936.59</v>
      </c>
      <c r="T57" s="5">
        <v>227.88</v>
      </c>
      <c r="U57" s="5">
        <v>412.46</v>
      </c>
      <c r="V57" s="5">
        <v>2466.0408000000002</v>
      </c>
      <c r="W57" s="5">
        <v>3898.6120999999998</v>
      </c>
      <c r="X57" s="5">
        <v>5028.7813999999998</v>
      </c>
      <c r="Y57" s="5">
        <v>3208.7283000000002</v>
      </c>
      <c r="Z57" s="5">
        <v>5174.0519999999997</v>
      </c>
      <c r="AA57" s="5">
        <v>1353.942</v>
      </c>
      <c r="AB57" s="5">
        <v>12194.87</v>
      </c>
      <c r="AC57" s="5">
        <v>289.05</v>
      </c>
      <c r="AD57" s="5">
        <v>154.57900000000001</v>
      </c>
    </row>
    <row r="58" spans="5:30" ht="15">
      <c r="E58" s="9">
        <v>35825</v>
      </c>
      <c r="F58" s="5">
        <v>133.55000000000001</v>
      </c>
      <c r="G58" s="5">
        <v>270.63459999999998</v>
      </c>
      <c r="H58" s="5">
        <v>339.56060000000002</v>
      </c>
      <c r="I58" s="5">
        <v>783.4</v>
      </c>
      <c r="J58" s="5">
        <v>198.41309999999999</v>
      </c>
      <c r="K58" s="5">
        <v>813.1</v>
      </c>
      <c r="L58" s="5">
        <v>949.55</v>
      </c>
      <c r="M58" s="5">
        <v>942.21</v>
      </c>
      <c r="N58" s="5">
        <v>941.58</v>
      </c>
      <c r="O58" s="5">
        <v>989.4</v>
      </c>
      <c r="P58" s="5">
        <v>536.12</v>
      </c>
      <c r="Q58" s="5">
        <v>156.97</v>
      </c>
      <c r="R58" s="5">
        <v>980.28</v>
      </c>
      <c r="S58" s="5">
        <v>961.49</v>
      </c>
      <c r="T58" s="5">
        <v>232.58</v>
      </c>
      <c r="U58" s="5">
        <v>379.8</v>
      </c>
      <c r="V58" s="5">
        <v>2435.2152999999998</v>
      </c>
      <c r="W58" s="5">
        <v>3908.3586</v>
      </c>
      <c r="X58" s="5">
        <v>5020.7353999999996</v>
      </c>
      <c r="Y58" s="5">
        <v>3272.2611000000002</v>
      </c>
      <c r="Z58" s="5">
        <v>5184.4000999999998</v>
      </c>
      <c r="AA58" s="5">
        <v>1347.607</v>
      </c>
      <c r="AB58" s="5">
        <v>12151.11</v>
      </c>
      <c r="AC58" s="5">
        <v>302.45</v>
      </c>
      <c r="AD58" s="5">
        <v>155.15</v>
      </c>
    </row>
    <row r="59" spans="5:30" ht="15">
      <c r="E59" s="9">
        <v>35853</v>
      </c>
      <c r="F59" s="5">
        <v>134.03</v>
      </c>
      <c r="G59" s="5">
        <v>270.86369999999999</v>
      </c>
      <c r="H59" s="5">
        <v>338.48009999999999</v>
      </c>
      <c r="I59" s="5">
        <v>782.81</v>
      </c>
      <c r="J59" s="5">
        <v>199.02809999999999</v>
      </c>
      <c r="K59" s="5">
        <v>814.82</v>
      </c>
      <c r="L59" s="5">
        <v>949.24</v>
      </c>
      <c r="M59" s="5">
        <v>941.92</v>
      </c>
      <c r="N59" s="5">
        <v>942.84</v>
      </c>
      <c r="O59" s="5">
        <v>988.54</v>
      </c>
      <c r="P59" s="5">
        <v>539.26</v>
      </c>
      <c r="Q59" s="5">
        <v>161.12</v>
      </c>
      <c r="R59" s="5">
        <v>1049.3399999999999</v>
      </c>
      <c r="S59" s="5">
        <v>1025.3</v>
      </c>
      <c r="T59" s="5">
        <v>248.16</v>
      </c>
      <c r="U59" s="5">
        <v>419.23</v>
      </c>
      <c r="V59" s="5">
        <v>2492.6864</v>
      </c>
      <c r="W59" s="5">
        <v>4039.6795000000002</v>
      </c>
      <c r="X59" s="5">
        <v>5226.0834000000004</v>
      </c>
      <c r="Y59" s="5">
        <v>3317.7455</v>
      </c>
      <c r="Z59" s="5">
        <v>5282.9036999999998</v>
      </c>
      <c r="AA59" s="5">
        <v>1324.74</v>
      </c>
      <c r="AB59" s="5">
        <v>12939.21</v>
      </c>
      <c r="AC59" s="5">
        <v>299.14999999999998</v>
      </c>
      <c r="AD59" s="5">
        <v>148.477</v>
      </c>
    </row>
    <row r="60" spans="5:30" ht="15">
      <c r="E60" s="9">
        <v>35885</v>
      </c>
      <c r="F60" s="5">
        <v>134.66999999999999</v>
      </c>
      <c r="G60" s="5">
        <v>271.91980000000001</v>
      </c>
      <c r="H60" s="5">
        <v>339.5016</v>
      </c>
      <c r="I60" s="5">
        <v>785.5</v>
      </c>
      <c r="J60" s="5">
        <v>200.14580000000001</v>
      </c>
      <c r="K60" s="5">
        <v>818.27</v>
      </c>
      <c r="L60" s="5">
        <v>952.75</v>
      </c>
      <c r="M60" s="5">
        <v>944.93</v>
      </c>
      <c r="N60" s="5">
        <v>946.27</v>
      </c>
      <c r="O60" s="5">
        <v>992.06</v>
      </c>
      <c r="P60" s="5">
        <v>544.32000000000005</v>
      </c>
      <c r="Q60" s="5">
        <v>164.78</v>
      </c>
      <c r="R60" s="5">
        <v>1101.75</v>
      </c>
      <c r="S60" s="5">
        <v>1067.3499999999999</v>
      </c>
      <c r="T60" s="5">
        <v>258.39</v>
      </c>
      <c r="U60" s="5">
        <v>436.02</v>
      </c>
      <c r="V60" s="5">
        <v>2613.3323999999998</v>
      </c>
      <c r="W60" s="5">
        <v>4158.0420999999997</v>
      </c>
      <c r="X60" s="5">
        <v>5463.3476000000001</v>
      </c>
      <c r="Y60" s="5">
        <v>3369.8341</v>
      </c>
      <c r="Z60" s="5">
        <v>5549.6904000000004</v>
      </c>
      <c r="AA60" s="5">
        <v>1346.5889999999999</v>
      </c>
      <c r="AB60" s="5">
        <v>13617.62</v>
      </c>
      <c r="AC60" s="5">
        <v>300.95</v>
      </c>
      <c r="AD60" s="5">
        <v>148.90700000000001</v>
      </c>
    </row>
    <row r="61" spans="5:30" ht="15">
      <c r="E61" s="9">
        <v>35915</v>
      </c>
      <c r="F61" s="5">
        <v>135.29</v>
      </c>
      <c r="G61" s="5">
        <v>273.22379999999998</v>
      </c>
      <c r="H61" s="5">
        <v>340.99329999999998</v>
      </c>
      <c r="I61" s="5">
        <v>789.6</v>
      </c>
      <c r="J61" s="5">
        <v>201.0992</v>
      </c>
      <c r="K61" s="5">
        <v>822.9</v>
      </c>
      <c r="L61" s="5">
        <v>958.77</v>
      </c>
      <c r="M61" s="5">
        <v>950.32</v>
      </c>
      <c r="N61" s="5">
        <v>952.6</v>
      </c>
      <c r="O61" s="5">
        <v>998.22</v>
      </c>
      <c r="P61" s="5">
        <v>546.47</v>
      </c>
      <c r="Q61" s="5">
        <v>165.16</v>
      </c>
      <c r="R61" s="5">
        <v>1111.75</v>
      </c>
      <c r="S61" s="5">
        <v>1076.53</v>
      </c>
      <c r="T61" s="5">
        <v>260.45</v>
      </c>
      <c r="U61" s="5">
        <v>430.41</v>
      </c>
      <c r="V61" s="5">
        <v>2638.4204</v>
      </c>
      <c r="W61" s="5">
        <v>4170.9319999999998</v>
      </c>
      <c r="X61" s="5">
        <v>5539.2880999999998</v>
      </c>
      <c r="Y61" s="5">
        <v>3434.8719000000001</v>
      </c>
      <c r="Z61" s="5">
        <v>5542.4758000000002</v>
      </c>
      <c r="AA61" s="5">
        <v>1303.3009999999999</v>
      </c>
      <c r="AB61" s="5">
        <v>13921.44</v>
      </c>
      <c r="AC61" s="5">
        <v>306.64999999999998</v>
      </c>
      <c r="AD61" s="5">
        <v>146.959</v>
      </c>
    </row>
    <row r="62" spans="5:30" ht="15">
      <c r="E62" s="9">
        <v>35944</v>
      </c>
      <c r="F62" s="5">
        <v>135.88</v>
      </c>
      <c r="G62" s="5">
        <v>274.67790000000002</v>
      </c>
      <c r="H62" s="5">
        <v>344.48360000000002</v>
      </c>
      <c r="I62" s="5">
        <v>797.09</v>
      </c>
      <c r="J62" s="5">
        <v>203.3065</v>
      </c>
      <c r="K62" s="5">
        <v>828.37</v>
      </c>
      <c r="L62" s="5">
        <v>970.15</v>
      </c>
      <c r="M62" s="5">
        <v>962.59</v>
      </c>
      <c r="N62" s="5">
        <v>962.02</v>
      </c>
      <c r="O62" s="5">
        <v>1011.44</v>
      </c>
      <c r="P62" s="5">
        <v>548.37</v>
      </c>
      <c r="Q62" s="5">
        <v>160.16999999999999</v>
      </c>
      <c r="R62" s="5">
        <v>1090.82</v>
      </c>
      <c r="S62" s="5">
        <v>1061.79</v>
      </c>
      <c r="T62" s="5">
        <v>255.14</v>
      </c>
      <c r="U62" s="5">
        <v>370.1</v>
      </c>
      <c r="V62" s="5">
        <v>2599.8995</v>
      </c>
      <c r="W62" s="5">
        <v>4121.2978999999996</v>
      </c>
      <c r="X62" s="5">
        <v>5468.9391999999998</v>
      </c>
      <c r="Y62" s="5">
        <v>3445.1765999999998</v>
      </c>
      <c r="Z62" s="5">
        <v>5546.9098000000004</v>
      </c>
      <c r="AA62" s="5">
        <v>1292.249</v>
      </c>
      <c r="AB62" s="5">
        <v>13222.55</v>
      </c>
      <c r="AC62" s="5">
        <v>292.95</v>
      </c>
      <c r="AD62" s="5">
        <v>139.721</v>
      </c>
    </row>
    <row r="63" spans="5:30" ht="15">
      <c r="E63" s="9">
        <v>35976</v>
      </c>
      <c r="F63" s="5">
        <v>136.47</v>
      </c>
      <c r="G63" s="5">
        <v>276.09500000000003</v>
      </c>
      <c r="H63" s="5">
        <v>348.4819</v>
      </c>
      <c r="I63" s="5">
        <v>803.85</v>
      </c>
      <c r="J63" s="5">
        <v>204.70310000000001</v>
      </c>
      <c r="K63" s="5">
        <v>832.32</v>
      </c>
      <c r="L63" s="5">
        <v>977.32</v>
      </c>
      <c r="M63" s="5">
        <v>970.52</v>
      </c>
      <c r="N63" s="5">
        <v>968.98</v>
      </c>
      <c r="O63" s="5">
        <v>1016.87</v>
      </c>
      <c r="P63" s="5">
        <v>550.34</v>
      </c>
      <c r="Q63" s="5">
        <v>156.11000000000001</v>
      </c>
      <c r="R63" s="5">
        <v>1133.8399999999999</v>
      </c>
      <c r="S63" s="5">
        <v>1085.74</v>
      </c>
      <c r="T63" s="5">
        <v>259.39</v>
      </c>
      <c r="U63" s="5">
        <v>330.52</v>
      </c>
      <c r="V63" s="5">
        <v>2577.5403000000001</v>
      </c>
      <c r="W63" s="5">
        <v>4134.0739999999996</v>
      </c>
      <c r="X63" s="5">
        <v>5496.2839000000004</v>
      </c>
      <c r="Y63" s="5">
        <v>3450.6887999999999</v>
      </c>
      <c r="Z63" s="5">
        <v>5578.5271000000002</v>
      </c>
      <c r="AA63" s="5">
        <v>1284.1949999999999</v>
      </c>
      <c r="AB63" s="5">
        <v>12869.24</v>
      </c>
      <c r="AC63" s="5">
        <v>296.95</v>
      </c>
      <c r="AD63" s="5">
        <v>136.72200000000001</v>
      </c>
    </row>
    <row r="64" spans="5:30" ht="15">
      <c r="E64" s="9">
        <v>36007</v>
      </c>
      <c r="F64" s="5">
        <v>137.09</v>
      </c>
      <c r="G64" s="5">
        <v>277.41879999999998</v>
      </c>
      <c r="H64" s="5">
        <v>349.02359999999999</v>
      </c>
      <c r="I64" s="5">
        <v>805.56</v>
      </c>
      <c r="J64" s="5">
        <v>205.8691</v>
      </c>
      <c r="K64" s="5">
        <v>836.54</v>
      </c>
      <c r="L64" s="5">
        <v>976.4</v>
      </c>
      <c r="M64" s="5">
        <v>967.74</v>
      </c>
      <c r="N64" s="5">
        <v>969.89</v>
      </c>
      <c r="O64" s="5">
        <v>1016.57</v>
      </c>
      <c r="P64" s="5">
        <v>553.47</v>
      </c>
      <c r="Q64" s="5">
        <v>157.02000000000001</v>
      </c>
      <c r="R64" s="5">
        <v>1120.67</v>
      </c>
      <c r="S64" s="5">
        <v>1082.74</v>
      </c>
      <c r="T64" s="5">
        <v>259.12</v>
      </c>
      <c r="U64" s="5">
        <v>339.83</v>
      </c>
      <c r="V64" s="5">
        <v>2572.643</v>
      </c>
      <c r="W64" s="5">
        <v>4110.5096999999996</v>
      </c>
      <c r="X64" s="5">
        <v>5459.4588000000003</v>
      </c>
      <c r="Y64" s="5">
        <v>3433.0902999999998</v>
      </c>
      <c r="Z64" s="5">
        <v>5591.3577999999998</v>
      </c>
      <c r="AA64" s="5">
        <v>1200.0060000000001</v>
      </c>
      <c r="AB64" s="5">
        <v>12095.81</v>
      </c>
      <c r="AC64" s="5">
        <v>286.45</v>
      </c>
      <c r="AD64" s="5">
        <v>128.48699999999999</v>
      </c>
    </row>
    <row r="65" spans="5:30" ht="15">
      <c r="E65" s="9">
        <v>36038</v>
      </c>
      <c r="F65" s="5">
        <v>137.78</v>
      </c>
      <c r="G65" s="5">
        <v>280.78190000000001</v>
      </c>
      <c r="H65" s="5">
        <v>358.40820000000002</v>
      </c>
      <c r="I65" s="5">
        <v>818.67</v>
      </c>
      <c r="J65" s="5">
        <v>209.39349999999999</v>
      </c>
      <c r="K65" s="5">
        <v>844.13</v>
      </c>
      <c r="L65" s="5">
        <v>980.97</v>
      </c>
      <c r="M65" s="5">
        <v>973.85</v>
      </c>
      <c r="N65" s="5">
        <v>973.86</v>
      </c>
      <c r="O65" s="5">
        <v>1025.02</v>
      </c>
      <c r="P65" s="5">
        <v>522.92999999999995</v>
      </c>
      <c r="Q65" s="5">
        <v>114.09</v>
      </c>
      <c r="R65" s="5">
        <v>957.28</v>
      </c>
      <c r="S65" s="5">
        <v>937.09</v>
      </c>
      <c r="T65" s="5">
        <v>222.45</v>
      </c>
      <c r="U65" s="5">
        <v>240.31</v>
      </c>
      <c r="V65" s="5">
        <v>2373.2631999999999</v>
      </c>
      <c r="W65" s="5">
        <v>3744.6743999999999</v>
      </c>
      <c r="X65" s="5">
        <v>5041.8101999999999</v>
      </c>
      <c r="Y65" s="5">
        <v>3233.9711000000002</v>
      </c>
      <c r="Z65" s="5">
        <v>5384.4775</v>
      </c>
      <c r="AA65" s="5">
        <v>1075.8430000000001</v>
      </c>
      <c r="AB65" s="5">
        <v>9527.91</v>
      </c>
      <c r="AC65" s="5">
        <v>275.55</v>
      </c>
      <c r="AD65" s="5">
        <v>120.346</v>
      </c>
    </row>
    <row r="66" spans="5:30" ht="15">
      <c r="E66" s="9">
        <v>36068</v>
      </c>
      <c r="F66" s="5">
        <v>138.54</v>
      </c>
      <c r="G66" s="5">
        <v>284.58890000000002</v>
      </c>
      <c r="H66" s="5">
        <v>368.40949999999998</v>
      </c>
      <c r="I66" s="5">
        <v>837.84</v>
      </c>
      <c r="J66" s="5">
        <v>214.15469999999999</v>
      </c>
      <c r="K66" s="5">
        <v>854.32</v>
      </c>
      <c r="L66" s="5">
        <v>1012.75</v>
      </c>
      <c r="M66" s="5">
        <v>1008.11</v>
      </c>
      <c r="N66" s="5">
        <v>1000.19</v>
      </c>
      <c r="O66" s="5">
        <v>1066.21</v>
      </c>
      <c r="P66" s="5">
        <v>525.29</v>
      </c>
      <c r="Q66" s="5">
        <v>123.95</v>
      </c>
      <c r="R66" s="5">
        <v>1017.01</v>
      </c>
      <c r="S66" s="5">
        <v>952.39</v>
      </c>
      <c r="T66" s="5">
        <v>226.53</v>
      </c>
      <c r="U66" s="5">
        <v>254.87</v>
      </c>
      <c r="V66" s="5">
        <v>2302.3026</v>
      </c>
      <c r="W66" s="5">
        <v>3721.4573999999998</v>
      </c>
      <c r="X66" s="5">
        <v>5201.1314000000002</v>
      </c>
      <c r="Y66" s="5">
        <v>3240.1156000000001</v>
      </c>
      <c r="Z66" s="5">
        <v>5357.5550999999996</v>
      </c>
      <c r="AA66" s="5">
        <v>1144.1300000000001</v>
      </c>
      <c r="AB66" s="5">
        <v>10038.27</v>
      </c>
      <c r="AC66" s="5">
        <v>296.95</v>
      </c>
      <c r="AD66" s="5">
        <v>129.68299999999999</v>
      </c>
    </row>
    <row r="67" spans="5:30" ht="15">
      <c r="E67" s="9">
        <v>36098</v>
      </c>
      <c r="F67" s="5">
        <v>139.11000000000001</v>
      </c>
      <c r="G67" s="5">
        <v>286.04090000000002</v>
      </c>
      <c r="H67" s="5">
        <v>367.14150000000001</v>
      </c>
      <c r="I67" s="5">
        <v>833.42</v>
      </c>
      <c r="J67" s="5">
        <v>213.55940000000001</v>
      </c>
      <c r="K67" s="5">
        <v>853.22</v>
      </c>
      <c r="L67" s="5">
        <v>997.13</v>
      </c>
      <c r="M67" s="5">
        <v>988.48</v>
      </c>
      <c r="N67" s="5">
        <v>987.01</v>
      </c>
      <c r="O67" s="5">
        <v>1048.3</v>
      </c>
      <c r="P67" s="5">
        <v>514.53</v>
      </c>
      <c r="Q67" s="5">
        <v>131.87</v>
      </c>
      <c r="R67" s="5">
        <v>1098.67</v>
      </c>
      <c r="S67" s="5">
        <v>1037.21</v>
      </c>
      <c r="T67" s="5">
        <v>246.87</v>
      </c>
      <c r="U67" s="5">
        <v>281.39999999999998</v>
      </c>
      <c r="V67" s="5">
        <v>2255.5657999999999</v>
      </c>
      <c r="W67" s="5">
        <v>3767.9756000000002</v>
      </c>
      <c r="X67" s="5">
        <v>5329.5992999999999</v>
      </c>
      <c r="Y67" s="5">
        <v>3224.5630999999998</v>
      </c>
      <c r="Z67" s="5">
        <v>5259.5119000000004</v>
      </c>
      <c r="AA67" s="5">
        <v>1112.972</v>
      </c>
      <c r="AB67" s="5">
        <v>10349.469999999999</v>
      </c>
      <c r="AC67" s="5">
        <v>292.55</v>
      </c>
      <c r="AD67" s="5">
        <v>125.82599999999999</v>
      </c>
    </row>
    <row r="68" spans="5:30" ht="15">
      <c r="E68" s="9">
        <v>36129</v>
      </c>
      <c r="F68" s="5">
        <v>139.51</v>
      </c>
      <c r="G68" s="5">
        <v>285.71629999999999</v>
      </c>
      <c r="H68" s="5">
        <v>367.18389999999999</v>
      </c>
      <c r="I68" s="5">
        <v>838.14</v>
      </c>
      <c r="J68" s="5">
        <v>215.33279999999999</v>
      </c>
      <c r="K68" s="5">
        <v>857.47</v>
      </c>
      <c r="L68" s="5">
        <v>1015.92</v>
      </c>
      <c r="M68" s="5">
        <v>1009.5</v>
      </c>
      <c r="N68" s="5">
        <v>1006.28</v>
      </c>
      <c r="O68" s="5">
        <v>1061.43</v>
      </c>
      <c r="P68" s="5">
        <v>535.88</v>
      </c>
      <c r="Q68" s="5">
        <v>140.91</v>
      </c>
      <c r="R68" s="5">
        <v>1163.6300000000001</v>
      </c>
      <c r="S68" s="5">
        <v>1097.6199999999999</v>
      </c>
      <c r="T68" s="5">
        <v>261.52999999999997</v>
      </c>
      <c r="U68" s="5">
        <v>304.52999999999997</v>
      </c>
      <c r="V68" s="5">
        <v>2260.0770000000002</v>
      </c>
      <c r="W68" s="5">
        <v>3859.5374000000002</v>
      </c>
      <c r="X68" s="5">
        <v>5534.2559000000001</v>
      </c>
      <c r="Y68" s="5">
        <v>3278.0907999999999</v>
      </c>
      <c r="Z68" s="5">
        <v>5363.6502</v>
      </c>
      <c r="AA68" s="5">
        <v>1133.232</v>
      </c>
      <c r="AB68" s="5">
        <v>11146.13</v>
      </c>
      <c r="AC68" s="5">
        <v>293.2</v>
      </c>
      <c r="AD68" s="5">
        <v>116.76</v>
      </c>
    </row>
    <row r="69" spans="5:30" ht="15">
      <c r="E69" s="9">
        <v>36160</v>
      </c>
      <c r="F69" s="5">
        <v>140.06</v>
      </c>
      <c r="G69" s="5">
        <v>286.73820000000001</v>
      </c>
      <c r="H69" s="5">
        <v>367.87650000000002</v>
      </c>
      <c r="I69" s="5">
        <v>840.66</v>
      </c>
      <c r="J69" s="5">
        <v>214.93430000000001</v>
      </c>
      <c r="K69" s="5">
        <v>861.11</v>
      </c>
      <c r="L69" s="5">
        <v>1018.87</v>
      </c>
      <c r="M69" s="5">
        <v>1010.64</v>
      </c>
      <c r="N69" s="5">
        <v>1008.98</v>
      </c>
      <c r="O69" s="5">
        <v>1069.98</v>
      </c>
      <c r="P69" s="5">
        <v>536.47</v>
      </c>
      <c r="Q69" s="5">
        <v>138.18</v>
      </c>
      <c r="R69" s="5">
        <v>1229.23</v>
      </c>
      <c r="S69" s="5">
        <v>1149.95</v>
      </c>
      <c r="T69" s="5">
        <v>273.3</v>
      </c>
      <c r="U69" s="5">
        <v>298.97000000000003</v>
      </c>
      <c r="V69" s="5">
        <v>2330.5913999999998</v>
      </c>
      <c r="W69" s="5">
        <v>3964.9027999999998</v>
      </c>
      <c r="X69" s="5">
        <v>5832.5523000000003</v>
      </c>
      <c r="Y69" s="5">
        <v>3298.7428</v>
      </c>
      <c r="Z69" s="5">
        <v>5494.5232999999998</v>
      </c>
      <c r="AA69" s="5">
        <v>1099.0940000000001</v>
      </c>
      <c r="AB69" s="5">
        <v>11469.1</v>
      </c>
      <c r="AC69" s="5">
        <v>288.25</v>
      </c>
      <c r="AD69" s="5">
        <v>112.79600000000001</v>
      </c>
    </row>
    <row r="70" spans="5:30" ht="15">
      <c r="E70" s="9">
        <v>36189</v>
      </c>
      <c r="F70" s="5">
        <v>140.6</v>
      </c>
      <c r="G70" s="5">
        <v>287.84800000000001</v>
      </c>
      <c r="H70" s="5">
        <v>370.13209999999998</v>
      </c>
      <c r="I70" s="5">
        <v>846.66</v>
      </c>
      <c r="J70" s="5">
        <v>217.58690000000001</v>
      </c>
      <c r="K70" s="5">
        <v>867.24</v>
      </c>
      <c r="L70" s="5">
        <v>1028.94</v>
      </c>
      <c r="M70" s="5">
        <v>1021.91</v>
      </c>
      <c r="N70" s="5">
        <v>1017.86</v>
      </c>
      <c r="O70" s="5">
        <v>1080.56</v>
      </c>
      <c r="P70" s="5">
        <v>544.42999999999995</v>
      </c>
      <c r="Q70" s="5">
        <v>135.04</v>
      </c>
      <c r="R70" s="5">
        <v>1279.6400000000001</v>
      </c>
      <c r="S70" s="5">
        <v>1173.8399999999999</v>
      </c>
      <c r="T70" s="5">
        <v>278.55</v>
      </c>
      <c r="U70" s="5">
        <v>293.91000000000003</v>
      </c>
      <c r="V70" s="5">
        <v>2368.3470000000002</v>
      </c>
      <c r="W70" s="5">
        <v>4030.3236999999999</v>
      </c>
      <c r="X70" s="5">
        <v>6123.0135</v>
      </c>
      <c r="Y70" s="5">
        <v>3384.84</v>
      </c>
      <c r="Z70" s="5">
        <v>5539.0289000000002</v>
      </c>
      <c r="AA70" s="5">
        <v>1077.241</v>
      </c>
      <c r="AB70" s="5">
        <v>12023.69</v>
      </c>
      <c r="AC70" s="5">
        <v>286.14999999999998</v>
      </c>
      <c r="AD70" s="5">
        <v>112.304</v>
      </c>
    </row>
    <row r="71" spans="5:30" ht="15">
      <c r="E71" s="9">
        <v>36217</v>
      </c>
      <c r="F71" s="5">
        <v>141.01</v>
      </c>
      <c r="G71" s="5">
        <v>286.56790000000001</v>
      </c>
      <c r="H71" s="5">
        <v>360.77159999999998</v>
      </c>
      <c r="I71" s="5">
        <v>831.88</v>
      </c>
      <c r="J71" s="5">
        <v>214.8623</v>
      </c>
      <c r="K71" s="5">
        <v>863.81</v>
      </c>
      <c r="L71" s="5">
        <v>1004.52</v>
      </c>
      <c r="M71" s="5">
        <v>994.38</v>
      </c>
      <c r="N71" s="5">
        <v>998.86</v>
      </c>
      <c r="O71" s="5">
        <v>1055.49</v>
      </c>
      <c r="P71" s="5">
        <v>541.23</v>
      </c>
      <c r="Q71" s="5">
        <v>136.37</v>
      </c>
      <c r="R71" s="5">
        <v>1238.33</v>
      </c>
      <c r="S71" s="5">
        <v>1141.33</v>
      </c>
      <c r="T71" s="5">
        <v>271.20999999999998</v>
      </c>
      <c r="U71" s="5">
        <v>296.56</v>
      </c>
      <c r="V71" s="5">
        <v>2361.7156</v>
      </c>
      <c r="W71" s="5">
        <v>4010.9780999999998</v>
      </c>
      <c r="X71" s="5">
        <v>5975.4488000000001</v>
      </c>
      <c r="Y71" s="5">
        <v>3388.5632999999998</v>
      </c>
      <c r="Z71" s="5">
        <v>5470.3450000000003</v>
      </c>
      <c r="AA71" s="5">
        <v>1048.316</v>
      </c>
      <c r="AB71" s="5">
        <v>11214.45</v>
      </c>
      <c r="AC71" s="5">
        <v>287.05</v>
      </c>
      <c r="AD71" s="5">
        <v>108.39100000000001</v>
      </c>
    </row>
    <row r="72" spans="5:30" ht="15">
      <c r="E72" s="9">
        <v>36250</v>
      </c>
      <c r="F72" s="5">
        <v>141.62</v>
      </c>
      <c r="G72" s="5">
        <v>288.49009999999998</v>
      </c>
      <c r="H72" s="5">
        <v>362.19940000000003</v>
      </c>
      <c r="I72" s="5">
        <v>836.49</v>
      </c>
      <c r="J72" s="5">
        <v>216.55950000000001</v>
      </c>
      <c r="K72" s="5">
        <v>869.61</v>
      </c>
      <c r="L72" s="5">
        <v>1011.63</v>
      </c>
      <c r="M72" s="5">
        <v>1000.41</v>
      </c>
      <c r="N72" s="5">
        <v>1006.63</v>
      </c>
      <c r="O72" s="5">
        <v>1063.02</v>
      </c>
      <c r="P72" s="5">
        <v>546.39</v>
      </c>
      <c r="Q72" s="5">
        <v>145.41</v>
      </c>
      <c r="R72" s="5">
        <v>1286.3699999999999</v>
      </c>
      <c r="S72" s="5">
        <v>1187.55</v>
      </c>
      <c r="T72" s="5">
        <v>283.04000000000002</v>
      </c>
      <c r="U72" s="5">
        <v>334.75</v>
      </c>
      <c r="V72" s="5">
        <v>2413.6732999999999</v>
      </c>
      <c r="W72" s="5">
        <v>4093.6043</v>
      </c>
      <c r="X72" s="5">
        <v>6217.4544999999998</v>
      </c>
      <c r="Y72" s="5">
        <v>3407.8780999999999</v>
      </c>
      <c r="Z72" s="5">
        <v>5528.8775999999998</v>
      </c>
      <c r="AA72" s="5">
        <v>1043.0530000000001</v>
      </c>
      <c r="AB72" s="5">
        <v>11113.33</v>
      </c>
      <c r="AC72" s="5">
        <v>280.05</v>
      </c>
      <c r="AD72" s="5">
        <v>118.779</v>
      </c>
    </row>
    <row r="73" spans="5:30" ht="15">
      <c r="E73" s="9">
        <v>36280</v>
      </c>
      <c r="F73" s="5">
        <v>142.13</v>
      </c>
      <c r="G73" s="5">
        <v>289.43040000000002</v>
      </c>
      <c r="H73" s="5">
        <v>363.00830000000002</v>
      </c>
      <c r="I73" s="5">
        <v>839.14</v>
      </c>
      <c r="J73" s="5">
        <v>218.21119999999999</v>
      </c>
      <c r="K73" s="5">
        <v>873.62</v>
      </c>
      <c r="L73" s="5">
        <v>1014.59</v>
      </c>
      <c r="M73" s="5">
        <v>1001.4</v>
      </c>
      <c r="N73" s="5">
        <v>1010.25</v>
      </c>
      <c r="O73" s="5">
        <v>1064.93</v>
      </c>
      <c r="P73" s="5">
        <v>556.98</v>
      </c>
      <c r="Q73" s="5">
        <v>154.35</v>
      </c>
      <c r="R73" s="5">
        <v>1335.18</v>
      </c>
      <c r="S73" s="5">
        <v>1233.06</v>
      </c>
      <c r="T73" s="5">
        <v>294.92</v>
      </c>
      <c r="U73" s="5">
        <v>375.66</v>
      </c>
      <c r="V73" s="5">
        <v>2501.5309999999999</v>
      </c>
      <c r="W73" s="5">
        <v>4303.6062000000002</v>
      </c>
      <c r="X73" s="5">
        <v>6543.8708999999999</v>
      </c>
      <c r="Y73" s="5">
        <v>3503.2986999999998</v>
      </c>
      <c r="Z73" s="5">
        <v>5742.2923000000001</v>
      </c>
      <c r="AA73" s="5">
        <v>1144.3320000000001</v>
      </c>
      <c r="AB73" s="5">
        <v>12152.53</v>
      </c>
      <c r="AC73" s="5">
        <v>286.55</v>
      </c>
      <c r="AD73" s="5">
        <v>123.581</v>
      </c>
    </row>
    <row r="74" spans="5:30" ht="15">
      <c r="E74" s="9">
        <v>36311</v>
      </c>
      <c r="F74" s="5">
        <v>142.63999999999999</v>
      </c>
      <c r="G74" s="5">
        <v>289.233</v>
      </c>
      <c r="H74" s="5">
        <v>359.76229999999998</v>
      </c>
      <c r="I74" s="5">
        <v>831.79</v>
      </c>
      <c r="J74" s="5">
        <v>216.9538</v>
      </c>
      <c r="K74" s="5">
        <v>868.74</v>
      </c>
      <c r="L74" s="5">
        <v>1001.02</v>
      </c>
      <c r="M74" s="5">
        <v>987.31</v>
      </c>
      <c r="N74" s="5">
        <v>998.51</v>
      </c>
      <c r="O74" s="5">
        <v>1051.82</v>
      </c>
      <c r="P74" s="5">
        <v>549.44000000000005</v>
      </c>
      <c r="Q74" s="5">
        <v>146.38</v>
      </c>
      <c r="R74" s="5">
        <v>1301.8399999999999</v>
      </c>
      <c r="S74" s="5">
        <v>1186.7</v>
      </c>
      <c r="T74" s="5">
        <v>284.11</v>
      </c>
      <c r="U74" s="5">
        <v>372.33</v>
      </c>
      <c r="V74" s="5">
        <v>2525.0454</v>
      </c>
      <c r="W74" s="5">
        <v>4389.6782999999996</v>
      </c>
      <c r="X74" s="5">
        <v>6623.7061000000003</v>
      </c>
      <c r="Y74" s="5">
        <v>3544.2873</v>
      </c>
      <c r="Z74" s="5">
        <v>5690.6117000000004</v>
      </c>
      <c r="AA74" s="5">
        <v>1169.5129999999999</v>
      </c>
      <c r="AB74" s="5">
        <v>12515.64</v>
      </c>
      <c r="AC74" s="5">
        <v>270.35000000000002</v>
      </c>
      <c r="AD74" s="5">
        <v>115.98699999999999</v>
      </c>
    </row>
    <row r="75" spans="5:30" ht="15">
      <c r="E75" s="9">
        <v>36341</v>
      </c>
      <c r="F75" s="5">
        <v>143.19</v>
      </c>
      <c r="G75" s="5">
        <v>290.12990000000002</v>
      </c>
      <c r="H75" s="5">
        <v>358.87990000000002</v>
      </c>
      <c r="I75" s="5">
        <v>829.14</v>
      </c>
      <c r="J75" s="5">
        <v>214.96279999999999</v>
      </c>
      <c r="K75" s="5">
        <v>865.68</v>
      </c>
      <c r="L75" s="5">
        <v>995.8</v>
      </c>
      <c r="M75" s="5">
        <v>980.44</v>
      </c>
      <c r="N75" s="5">
        <v>994.06</v>
      </c>
      <c r="O75" s="5">
        <v>1047.2</v>
      </c>
      <c r="P75" s="5">
        <v>548.27</v>
      </c>
      <c r="Q75" s="5">
        <v>152</v>
      </c>
      <c r="R75" s="5">
        <v>1372.71</v>
      </c>
      <c r="S75" s="5">
        <v>1240.75</v>
      </c>
      <c r="T75" s="5">
        <v>297.89</v>
      </c>
      <c r="U75" s="5">
        <v>413.81</v>
      </c>
      <c r="V75" s="5">
        <v>2609.1293999999998</v>
      </c>
      <c r="W75" s="5">
        <v>4518.2959000000001</v>
      </c>
      <c r="X75" s="5">
        <v>6875.4069</v>
      </c>
      <c r="Y75" s="5">
        <v>3592.8440000000001</v>
      </c>
      <c r="Z75" s="5">
        <v>5813.5289000000002</v>
      </c>
      <c r="AA75" s="5">
        <v>1153.4169999999999</v>
      </c>
      <c r="AB75" s="5">
        <v>13050.81</v>
      </c>
      <c r="AC75" s="5">
        <v>262.5</v>
      </c>
      <c r="AD75" s="5">
        <v>122.46899999999999</v>
      </c>
    </row>
    <row r="76" spans="5:30" ht="15">
      <c r="E76" s="9">
        <v>36371</v>
      </c>
      <c r="F76" s="5">
        <v>143.78</v>
      </c>
      <c r="G76" s="5">
        <v>291.08319999999998</v>
      </c>
      <c r="H76" s="5">
        <v>358.5761</v>
      </c>
      <c r="I76" s="5">
        <v>825.61</v>
      </c>
      <c r="J76" s="5">
        <v>214.0692</v>
      </c>
      <c r="K76" s="5">
        <v>859.81</v>
      </c>
      <c r="L76" s="5">
        <v>990.29</v>
      </c>
      <c r="M76" s="5">
        <v>974.79</v>
      </c>
      <c r="N76" s="5">
        <v>988.84</v>
      </c>
      <c r="O76" s="5">
        <v>1041.53</v>
      </c>
      <c r="P76" s="5">
        <v>550.47</v>
      </c>
      <c r="Q76" s="5">
        <v>149.47</v>
      </c>
      <c r="R76" s="5">
        <v>1328.72</v>
      </c>
      <c r="S76" s="5">
        <v>1235.7</v>
      </c>
      <c r="T76" s="5">
        <v>296.31</v>
      </c>
      <c r="U76" s="5">
        <v>401.94</v>
      </c>
      <c r="V76" s="5">
        <v>2620.3487</v>
      </c>
      <c r="W76" s="5">
        <v>4554.8941000000004</v>
      </c>
      <c r="X76" s="5">
        <v>6917.3468999999996</v>
      </c>
      <c r="Y76" s="5">
        <v>3622.6646000000001</v>
      </c>
      <c r="Z76" s="5">
        <v>5840.2710999999999</v>
      </c>
      <c r="AA76" s="5">
        <v>1111.085</v>
      </c>
      <c r="AB76" s="5">
        <v>13160.69</v>
      </c>
      <c r="AC76" s="5">
        <v>255.95</v>
      </c>
      <c r="AD76" s="5">
        <v>124.623</v>
      </c>
    </row>
    <row r="77" spans="5:30" ht="15">
      <c r="E77" s="9">
        <v>36403</v>
      </c>
      <c r="F77" s="5">
        <v>144.30000000000001</v>
      </c>
      <c r="G77" s="5">
        <v>291.91770000000002</v>
      </c>
      <c r="H77" s="5">
        <v>358.64870000000002</v>
      </c>
      <c r="I77" s="5">
        <v>825.19</v>
      </c>
      <c r="J77" s="5">
        <v>214.22909999999999</v>
      </c>
      <c r="K77" s="5">
        <v>859.78</v>
      </c>
      <c r="L77" s="5">
        <v>987.88</v>
      </c>
      <c r="M77" s="5">
        <v>970.87</v>
      </c>
      <c r="N77" s="5">
        <v>987.92</v>
      </c>
      <c r="O77" s="5">
        <v>1036.98</v>
      </c>
      <c r="P77" s="5">
        <v>544.39</v>
      </c>
      <c r="Q77" s="5">
        <v>149.57</v>
      </c>
      <c r="R77" s="5">
        <v>1320.41</v>
      </c>
      <c r="S77" s="5">
        <v>1232.1600000000001</v>
      </c>
      <c r="T77" s="5">
        <v>295.60000000000002</v>
      </c>
      <c r="U77" s="5">
        <v>405.3</v>
      </c>
      <c r="V77" s="5">
        <v>2625.8514</v>
      </c>
      <c r="W77" s="5">
        <v>4519.3658999999998</v>
      </c>
      <c r="X77" s="5">
        <v>6920.1138000000001</v>
      </c>
      <c r="Y77" s="5">
        <v>3651.6460000000002</v>
      </c>
      <c r="Z77" s="5">
        <v>5808.1496999999999</v>
      </c>
      <c r="AA77" s="5">
        <v>1086.8330000000001</v>
      </c>
      <c r="AB77" s="5">
        <v>12777.92</v>
      </c>
      <c r="AC77" s="5">
        <v>255.68</v>
      </c>
      <c r="AD77" s="5">
        <v>131.852</v>
      </c>
    </row>
    <row r="78" spans="5:30" ht="15">
      <c r="E78" s="9">
        <v>36433</v>
      </c>
      <c r="F78" s="5">
        <v>144.94999999999999</v>
      </c>
      <c r="G78" s="5">
        <v>293.82490000000001</v>
      </c>
      <c r="H78" s="5">
        <v>361.43900000000002</v>
      </c>
      <c r="I78" s="5">
        <v>834.77</v>
      </c>
      <c r="J78" s="5">
        <v>215.5189</v>
      </c>
      <c r="K78" s="5">
        <v>873.73</v>
      </c>
      <c r="L78" s="5">
        <v>998.61</v>
      </c>
      <c r="M78" s="5">
        <v>980.41</v>
      </c>
      <c r="N78" s="5">
        <v>999.13</v>
      </c>
      <c r="O78" s="5">
        <v>1048.27</v>
      </c>
      <c r="P78" s="5">
        <v>540.47</v>
      </c>
      <c r="Q78" s="5">
        <v>154.27000000000001</v>
      </c>
      <c r="R78" s="5">
        <v>1282.71</v>
      </c>
      <c r="S78" s="5">
        <v>1218.9000000000001</v>
      </c>
      <c r="T78" s="5">
        <v>292.06</v>
      </c>
      <c r="U78" s="5">
        <v>391.07</v>
      </c>
      <c r="V78" s="5">
        <v>2604.0569</v>
      </c>
      <c r="W78" s="5">
        <v>4592.5796</v>
      </c>
      <c r="X78" s="5">
        <v>6944.3342000000002</v>
      </c>
      <c r="Y78" s="5">
        <v>3669.1738999999998</v>
      </c>
      <c r="Z78" s="5">
        <v>5870.8777</v>
      </c>
      <c r="AA78" s="5">
        <v>1046.385</v>
      </c>
      <c r="AB78" s="5">
        <v>12710.32</v>
      </c>
      <c r="AC78" s="5">
        <v>298.75</v>
      </c>
      <c r="AD78" s="5">
        <v>138.71199999999999</v>
      </c>
    </row>
    <row r="79" spans="5:30" ht="15">
      <c r="E79" s="9">
        <v>36462</v>
      </c>
      <c r="F79" s="5">
        <v>145.49</v>
      </c>
      <c r="G79" s="5">
        <v>294.54730000000001</v>
      </c>
      <c r="H79" s="5">
        <v>361.8707</v>
      </c>
      <c r="I79" s="5">
        <v>837.85</v>
      </c>
      <c r="J79" s="5">
        <v>216.08940000000001</v>
      </c>
      <c r="K79" s="5">
        <v>878.76</v>
      </c>
      <c r="L79" s="5">
        <v>1003.2</v>
      </c>
      <c r="M79" s="5">
        <v>983.2</v>
      </c>
      <c r="N79" s="5">
        <v>1005.49</v>
      </c>
      <c r="O79" s="5">
        <v>1056.67</v>
      </c>
      <c r="P79" s="5">
        <v>536.88</v>
      </c>
      <c r="Q79" s="5">
        <v>159.72999999999999</v>
      </c>
      <c r="R79" s="5">
        <v>1362.93</v>
      </c>
      <c r="S79" s="5">
        <v>1280.94</v>
      </c>
      <c r="T79" s="5">
        <v>306.5</v>
      </c>
      <c r="U79" s="5">
        <v>399.05</v>
      </c>
      <c r="V79" s="5">
        <v>2637.9096</v>
      </c>
      <c r="W79" s="5">
        <v>4611.8684999999996</v>
      </c>
      <c r="X79" s="5">
        <v>7106.1372000000001</v>
      </c>
      <c r="Y79" s="5">
        <v>3688.6205</v>
      </c>
      <c r="Z79" s="5">
        <v>5826.8460999999998</v>
      </c>
      <c r="AA79" s="5">
        <v>1019.386</v>
      </c>
      <c r="AB79" s="5">
        <v>12632.99</v>
      </c>
      <c r="AC79" s="5">
        <v>299.2</v>
      </c>
      <c r="AD79" s="5">
        <v>133.214</v>
      </c>
    </row>
    <row r="80" spans="5:30" ht="15">
      <c r="E80" s="9">
        <v>36494</v>
      </c>
      <c r="F80" s="5">
        <v>146</v>
      </c>
      <c r="G80" s="5">
        <v>295.07</v>
      </c>
      <c r="H80" s="5">
        <v>361.19409999999999</v>
      </c>
      <c r="I80" s="5">
        <v>837.79</v>
      </c>
      <c r="J80" s="5">
        <v>216.85990000000001</v>
      </c>
      <c r="K80" s="5">
        <v>879.24</v>
      </c>
      <c r="L80" s="5">
        <v>1004.27</v>
      </c>
      <c r="M80" s="5">
        <v>982.27</v>
      </c>
      <c r="N80" s="5">
        <v>1008.18</v>
      </c>
      <c r="O80" s="5">
        <v>1055.92</v>
      </c>
      <c r="P80" s="5">
        <v>543.19000000000005</v>
      </c>
      <c r="Q80" s="5">
        <v>164.01</v>
      </c>
      <c r="R80" s="5">
        <v>1388.91</v>
      </c>
      <c r="S80" s="5">
        <v>1315.67</v>
      </c>
      <c r="T80" s="5">
        <v>315.68</v>
      </c>
      <c r="U80" s="5">
        <v>434.7</v>
      </c>
      <c r="V80" s="5">
        <v>2779.0378000000001</v>
      </c>
      <c r="W80" s="5">
        <v>4767.7496000000001</v>
      </c>
      <c r="X80" s="5">
        <v>7586.5120999999999</v>
      </c>
      <c r="Y80" s="5">
        <v>3728.4576000000002</v>
      </c>
      <c r="Z80" s="5">
        <v>6050.0142999999998</v>
      </c>
      <c r="AA80" s="5">
        <v>997.96090000000004</v>
      </c>
      <c r="AB80" s="5">
        <v>14118.68</v>
      </c>
      <c r="AC80" s="5">
        <v>290.7</v>
      </c>
      <c r="AD80" s="5">
        <v>136.33799999999999</v>
      </c>
    </row>
    <row r="81" spans="5:30" ht="15">
      <c r="E81" s="9">
        <v>36525</v>
      </c>
      <c r="F81" s="5">
        <v>146.63</v>
      </c>
      <c r="G81" s="5">
        <v>295.46260000000001</v>
      </c>
      <c r="H81" s="5">
        <v>358.86759999999998</v>
      </c>
      <c r="I81" s="5">
        <v>833.75</v>
      </c>
      <c r="J81" s="5">
        <v>216.62389999999999</v>
      </c>
      <c r="K81" s="5">
        <v>877.09</v>
      </c>
      <c r="L81" s="5">
        <v>998.95</v>
      </c>
      <c r="M81" s="5">
        <v>976.31</v>
      </c>
      <c r="N81" s="5">
        <v>1003.48</v>
      </c>
      <c r="O81" s="5">
        <v>1051.8800000000001</v>
      </c>
      <c r="P81" s="5">
        <v>549.29999999999995</v>
      </c>
      <c r="Q81" s="5">
        <v>171.59</v>
      </c>
      <c r="R81" s="5">
        <v>1469.25</v>
      </c>
      <c r="S81" s="5">
        <v>1420.88</v>
      </c>
      <c r="T81" s="5">
        <v>341.63</v>
      </c>
      <c r="U81" s="5">
        <v>489.42</v>
      </c>
      <c r="V81" s="5">
        <v>2993.8573999999999</v>
      </c>
      <c r="W81" s="5">
        <v>4929.3762999999999</v>
      </c>
      <c r="X81" s="5">
        <v>8411.9246000000003</v>
      </c>
      <c r="Y81" s="5">
        <v>3784.7573000000002</v>
      </c>
      <c r="Z81" s="5">
        <v>6462.6252999999997</v>
      </c>
      <c r="AA81" s="5">
        <v>1027.9169999999999</v>
      </c>
      <c r="AB81" s="5">
        <v>16170.54</v>
      </c>
      <c r="AC81" s="5">
        <v>288</v>
      </c>
      <c r="AD81" s="5">
        <v>140.25700000000001</v>
      </c>
    </row>
    <row r="82" spans="5:30" ht="15">
      <c r="E82" s="9">
        <v>36556</v>
      </c>
      <c r="F82" s="5">
        <v>147.24</v>
      </c>
      <c r="G82" s="5">
        <v>295.37569999999999</v>
      </c>
      <c r="H82" s="5">
        <v>359.7158</v>
      </c>
      <c r="I82" s="5">
        <v>831.02</v>
      </c>
      <c r="J82" s="5">
        <v>216.23089999999999</v>
      </c>
      <c r="K82" s="5">
        <v>869.49</v>
      </c>
      <c r="L82" s="5">
        <v>995.43</v>
      </c>
      <c r="M82" s="5">
        <v>972.69</v>
      </c>
      <c r="N82" s="5">
        <v>1000.03</v>
      </c>
      <c r="O82" s="5">
        <v>1049.01</v>
      </c>
      <c r="P82" s="5">
        <v>546.92999999999995</v>
      </c>
      <c r="Q82" s="5">
        <v>168.95</v>
      </c>
      <c r="R82" s="5">
        <v>1394.46</v>
      </c>
      <c r="S82" s="5">
        <v>1338.25</v>
      </c>
      <c r="T82" s="5">
        <v>322.83</v>
      </c>
      <c r="U82" s="5">
        <v>491.39</v>
      </c>
      <c r="V82" s="5">
        <v>3045.0524</v>
      </c>
      <c r="W82" s="5">
        <v>4965.8536999999997</v>
      </c>
      <c r="X82" s="5">
        <v>8432.9544000000005</v>
      </c>
      <c r="Y82" s="5">
        <v>3853.6399000000001</v>
      </c>
      <c r="Z82" s="5">
        <v>6536.2992000000004</v>
      </c>
      <c r="AA82" s="5">
        <v>1031.4090000000001</v>
      </c>
      <c r="AB82" s="5">
        <v>16916.150000000001</v>
      </c>
      <c r="AC82" s="5">
        <v>283.5</v>
      </c>
      <c r="AD82" s="5">
        <v>147.86099999999999</v>
      </c>
    </row>
    <row r="83" spans="5:30" ht="15">
      <c r="E83" s="9">
        <v>36585</v>
      </c>
      <c r="F83" s="5">
        <v>147.91</v>
      </c>
      <c r="G83" s="5">
        <v>297.3254</v>
      </c>
      <c r="H83" s="5">
        <v>365.12459999999999</v>
      </c>
      <c r="I83" s="5">
        <v>841.07</v>
      </c>
      <c r="J83" s="5">
        <v>218.28739999999999</v>
      </c>
      <c r="K83" s="5">
        <v>879.57</v>
      </c>
      <c r="L83" s="5">
        <v>1004.66</v>
      </c>
      <c r="M83" s="5">
        <v>983.14</v>
      </c>
      <c r="N83" s="5">
        <v>1006.31</v>
      </c>
      <c r="O83" s="5">
        <v>1057.18</v>
      </c>
      <c r="P83" s="5">
        <v>547.99</v>
      </c>
      <c r="Q83" s="5">
        <v>178.03</v>
      </c>
      <c r="R83" s="5">
        <v>1366.42</v>
      </c>
      <c r="S83" s="5">
        <v>1340.58</v>
      </c>
      <c r="T83" s="5">
        <v>323.58999999999997</v>
      </c>
      <c r="U83" s="5">
        <v>497.74</v>
      </c>
      <c r="V83" s="5">
        <v>3209.4852000000001</v>
      </c>
      <c r="W83" s="5">
        <v>5152.5698000000002</v>
      </c>
      <c r="X83" s="5">
        <v>9276.2499000000007</v>
      </c>
      <c r="Y83" s="5">
        <v>3902.5810999999999</v>
      </c>
      <c r="Z83" s="5">
        <v>6776.1814000000004</v>
      </c>
      <c r="AA83" s="5">
        <v>1017.948</v>
      </c>
      <c r="AB83" s="5">
        <v>21024.74</v>
      </c>
      <c r="AC83" s="5">
        <v>292.2</v>
      </c>
      <c r="AD83" s="5">
        <v>150.446</v>
      </c>
    </row>
    <row r="84" spans="5:30" ht="15">
      <c r="E84" s="9">
        <v>36616</v>
      </c>
      <c r="F84" s="5">
        <v>148.62</v>
      </c>
      <c r="G84" s="5">
        <v>299.15899999999999</v>
      </c>
      <c r="H84" s="5">
        <v>372.3492</v>
      </c>
      <c r="I84" s="5">
        <v>852.15</v>
      </c>
      <c r="J84" s="5">
        <v>221.1969</v>
      </c>
      <c r="K84" s="5">
        <v>889.19</v>
      </c>
      <c r="L84" s="5">
        <v>1013.22</v>
      </c>
      <c r="M84" s="5">
        <v>990.81</v>
      </c>
      <c r="N84" s="5">
        <v>1015.3</v>
      </c>
      <c r="O84" s="5">
        <v>1057.92</v>
      </c>
      <c r="P84" s="5">
        <v>536.47</v>
      </c>
      <c r="Q84" s="5">
        <v>182.87</v>
      </c>
      <c r="R84" s="5">
        <v>1498.58</v>
      </c>
      <c r="S84" s="5">
        <v>1431.94</v>
      </c>
      <c r="T84" s="5">
        <v>344.5</v>
      </c>
      <c r="U84" s="5">
        <v>499.4</v>
      </c>
      <c r="V84" s="5">
        <v>3209.8060999999998</v>
      </c>
      <c r="W84" s="5">
        <v>5154.1156000000001</v>
      </c>
      <c r="X84" s="5">
        <v>9436.7289999999994</v>
      </c>
      <c r="Y84" s="5">
        <v>3972.8276000000001</v>
      </c>
      <c r="Z84" s="5">
        <v>6622.3621000000003</v>
      </c>
      <c r="AA84" s="5">
        <v>1050.9480000000001</v>
      </c>
      <c r="AB84" s="5">
        <v>18989.740000000002</v>
      </c>
      <c r="AC84" s="5">
        <v>279.07</v>
      </c>
      <c r="AD84" s="5">
        <v>151.904</v>
      </c>
    </row>
    <row r="85" spans="5:30" ht="15">
      <c r="E85" s="9">
        <v>36644</v>
      </c>
      <c r="F85" s="5">
        <v>149.38999999999999</v>
      </c>
      <c r="G85" s="5">
        <v>299.90050000000002</v>
      </c>
      <c r="H85" s="5">
        <v>371.25049999999999</v>
      </c>
      <c r="I85" s="5">
        <v>849.71</v>
      </c>
      <c r="J85" s="5">
        <v>221.39080000000001</v>
      </c>
      <c r="K85" s="5">
        <v>889.8</v>
      </c>
      <c r="L85" s="5">
        <v>1004.32</v>
      </c>
      <c r="M85" s="5">
        <v>980.66</v>
      </c>
      <c r="N85" s="5">
        <v>1007.02</v>
      </c>
      <c r="O85" s="5">
        <v>1051.6500000000001</v>
      </c>
      <c r="P85" s="5">
        <v>537.33000000000004</v>
      </c>
      <c r="Q85" s="5">
        <v>179.5</v>
      </c>
      <c r="R85" s="5">
        <v>1452.43</v>
      </c>
      <c r="S85" s="5">
        <v>1370.11</v>
      </c>
      <c r="T85" s="5">
        <v>328.68</v>
      </c>
      <c r="U85" s="5">
        <v>451.36</v>
      </c>
      <c r="V85" s="5">
        <v>3074.3523</v>
      </c>
      <c r="W85" s="5">
        <v>5077.8347000000003</v>
      </c>
      <c r="X85" s="5">
        <v>9041.3300999999992</v>
      </c>
      <c r="Y85" s="5">
        <v>4028.8444</v>
      </c>
      <c r="Z85" s="5">
        <v>6378.6590999999999</v>
      </c>
      <c r="AA85" s="5">
        <v>1120.1679999999999</v>
      </c>
      <c r="AB85" s="5">
        <v>15985.04</v>
      </c>
      <c r="AC85" s="5">
        <v>273.55</v>
      </c>
      <c r="AD85" s="5">
        <v>150.03899999999999</v>
      </c>
    </row>
    <row r="86" spans="5:30" ht="15">
      <c r="E86" s="9">
        <v>36677</v>
      </c>
      <c r="F86" s="5">
        <v>150.18</v>
      </c>
      <c r="G86" s="5">
        <v>301.13619999999997</v>
      </c>
      <c r="H86" s="5">
        <v>371.7996</v>
      </c>
      <c r="I86" s="5">
        <v>849.32</v>
      </c>
      <c r="J86" s="5">
        <v>221.97280000000001</v>
      </c>
      <c r="K86" s="5">
        <v>890.21</v>
      </c>
      <c r="L86" s="5">
        <v>1000.58</v>
      </c>
      <c r="M86" s="5">
        <v>976.56</v>
      </c>
      <c r="N86" s="5">
        <v>1002.83</v>
      </c>
      <c r="O86" s="5">
        <v>1051.48</v>
      </c>
      <c r="P86" s="5">
        <v>531.82000000000005</v>
      </c>
      <c r="Q86" s="5">
        <v>175.35</v>
      </c>
      <c r="R86" s="5">
        <v>1420.6</v>
      </c>
      <c r="S86" s="5">
        <v>1334.14</v>
      </c>
      <c r="T86" s="5">
        <v>319.77999999999997</v>
      </c>
      <c r="U86" s="5">
        <v>431.7</v>
      </c>
      <c r="V86" s="5">
        <v>3019.0140000000001</v>
      </c>
      <c r="W86" s="5">
        <v>5038.7353999999996</v>
      </c>
      <c r="X86" s="5">
        <v>8820.7216000000008</v>
      </c>
      <c r="Y86" s="5">
        <v>4056.2406000000001</v>
      </c>
      <c r="Z86" s="5">
        <v>6280.4278000000004</v>
      </c>
      <c r="AA86" s="5">
        <v>1131.8920000000001</v>
      </c>
      <c r="AB86" s="5">
        <v>14496.58</v>
      </c>
      <c r="AC86" s="5">
        <v>272.10000000000002</v>
      </c>
      <c r="AD86" s="5">
        <v>160.137</v>
      </c>
    </row>
    <row r="87" spans="5:30" ht="15">
      <c r="E87" s="9">
        <v>36707</v>
      </c>
      <c r="F87" s="5">
        <v>150.9</v>
      </c>
      <c r="G87" s="5">
        <v>304.30059999999997</v>
      </c>
      <c r="H87" s="5">
        <v>378.07560000000001</v>
      </c>
      <c r="I87" s="5">
        <v>866.99</v>
      </c>
      <c r="J87" s="5">
        <v>224.733</v>
      </c>
      <c r="K87" s="5">
        <v>909.24</v>
      </c>
      <c r="L87" s="5">
        <v>1025.71</v>
      </c>
      <c r="M87" s="5">
        <v>1003.51</v>
      </c>
      <c r="N87" s="5">
        <v>1022.19</v>
      </c>
      <c r="O87" s="5">
        <v>1083.7</v>
      </c>
      <c r="P87" s="5">
        <v>542.65</v>
      </c>
      <c r="Q87" s="5">
        <v>183.52</v>
      </c>
      <c r="R87" s="5">
        <v>1454.6</v>
      </c>
      <c r="S87" s="5">
        <v>1377.72</v>
      </c>
      <c r="T87" s="5">
        <v>330.21</v>
      </c>
      <c r="U87" s="5">
        <v>445.52</v>
      </c>
      <c r="V87" s="5">
        <v>3109.8863000000001</v>
      </c>
      <c r="W87" s="5">
        <v>5185.8663999999999</v>
      </c>
      <c r="X87" s="5">
        <v>9248.5265999999992</v>
      </c>
      <c r="Y87" s="5">
        <v>4144.6665999999996</v>
      </c>
      <c r="Z87" s="5">
        <v>6358.3050999999996</v>
      </c>
      <c r="AA87" s="5">
        <v>1161.923</v>
      </c>
      <c r="AB87" s="5">
        <v>16416.419999999998</v>
      </c>
      <c r="AC87" s="5">
        <v>289.52</v>
      </c>
      <c r="AD87" s="5">
        <v>163.916</v>
      </c>
    </row>
    <row r="88" spans="5:30" ht="15">
      <c r="E88" s="9">
        <v>36738</v>
      </c>
      <c r="F88" s="5">
        <v>151.6</v>
      </c>
      <c r="G88" s="5">
        <v>306.20830000000001</v>
      </c>
      <c r="H88" s="5">
        <v>381.92790000000002</v>
      </c>
      <c r="I88" s="5">
        <v>874.86</v>
      </c>
      <c r="J88" s="5">
        <v>226.48670000000001</v>
      </c>
      <c r="K88" s="5">
        <v>915.08</v>
      </c>
      <c r="L88" s="5">
        <v>1038.1500000000001</v>
      </c>
      <c r="M88" s="5">
        <v>1014.95</v>
      </c>
      <c r="N88" s="5">
        <v>1035.02</v>
      </c>
      <c r="O88" s="5">
        <v>1099.67</v>
      </c>
      <c r="P88" s="5">
        <v>546.79</v>
      </c>
      <c r="Q88" s="5">
        <v>188.76</v>
      </c>
      <c r="R88" s="5">
        <v>1430.83</v>
      </c>
      <c r="S88" s="5">
        <v>1337.65</v>
      </c>
      <c r="T88" s="5">
        <v>320.16000000000003</v>
      </c>
      <c r="U88" s="5">
        <v>422.08</v>
      </c>
      <c r="V88" s="5">
        <v>3098.3797</v>
      </c>
      <c r="W88" s="5">
        <v>5193.6451999999999</v>
      </c>
      <c r="X88" s="5">
        <v>9102.3999000000003</v>
      </c>
      <c r="Y88" s="5">
        <v>4183.2120000000004</v>
      </c>
      <c r="Z88" s="5">
        <v>6361.4841999999999</v>
      </c>
      <c r="AA88" s="5">
        <v>1260.6590000000001</v>
      </c>
      <c r="AB88" s="5">
        <v>15629.41</v>
      </c>
      <c r="AC88" s="5">
        <v>277.25</v>
      </c>
      <c r="AD88" s="5">
        <v>155.70400000000001</v>
      </c>
    </row>
    <row r="89" spans="5:30" ht="15">
      <c r="E89" s="9">
        <v>36769</v>
      </c>
      <c r="F89" s="5">
        <v>152.34</v>
      </c>
      <c r="G89" s="5">
        <v>308.4633</v>
      </c>
      <c r="H89" s="5">
        <v>387.49279999999999</v>
      </c>
      <c r="I89" s="5">
        <v>887.54</v>
      </c>
      <c r="J89" s="5">
        <v>228.1489</v>
      </c>
      <c r="K89" s="5">
        <v>928.95</v>
      </c>
      <c r="L89" s="5">
        <v>1051.1400000000001</v>
      </c>
      <c r="M89" s="5">
        <v>1026.83</v>
      </c>
      <c r="N89" s="5">
        <v>1049</v>
      </c>
      <c r="O89" s="5">
        <v>1114.31</v>
      </c>
      <c r="P89" s="5">
        <v>550.53</v>
      </c>
      <c r="Q89" s="5">
        <v>194.78</v>
      </c>
      <c r="R89" s="5">
        <v>1517.68</v>
      </c>
      <c r="S89" s="5">
        <v>1379.87</v>
      </c>
      <c r="T89" s="5">
        <v>329.76</v>
      </c>
      <c r="U89" s="5">
        <v>423.56</v>
      </c>
      <c r="V89" s="5">
        <v>3146.4045999999998</v>
      </c>
      <c r="W89" s="5">
        <v>5298.0375000000004</v>
      </c>
      <c r="X89" s="5">
        <v>9589.3783000000003</v>
      </c>
      <c r="Y89" s="5">
        <v>4249.7250999999997</v>
      </c>
      <c r="Z89" s="5">
        <v>6471.5379000000003</v>
      </c>
      <c r="AA89" s="5">
        <v>1210.663</v>
      </c>
      <c r="AB89" s="5">
        <v>16822.3</v>
      </c>
      <c r="AC89" s="5">
        <v>277.85000000000002</v>
      </c>
      <c r="AD89" s="5">
        <v>171.018</v>
      </c>
    </row>
    <row r="90" spans="5:30" ht="15">
      <c r="E90" s="9">
        <v>36798</v>
      </c>
      <c r="F90" s="5">
        <v>153.19</v>
      </c>
      <c r="G90" s="5">
        <v>310.70760000000001</v>
      </c>
      <c r="H90" s="5">
        <v>387.84249999999997</v>
      </c>
      <c r="I90" s="5">
        <v>893.12</v>
      </c>
      <c r="J90" s="5">
        <v>230.0034</v>
      </c>
      <c r="K90" s="5">
        <v>938.58</v>
      </c>
      <c r="L90" s="5">
        <v>1056.9000000000001</v>
      </c>
      <c r="M90" s="5">
        <v>1029.3499999999999</v>
      </c>
      <c r="N90" s="5">
        <v>1059.8499999999999</v>
      </c>
      <c r="O90" s="5">
        <v>1118.1300000000001</v>
      </c>
      <c r="P90" s="5">
        <v>545.72</v>
      </c>
      <c r="Q90" s="5">
        <v>192.68</v>
      </c>
      <c r="R90" s="5">
        <v>1436.51</v>
      </c>
      <c r="S90" s="5">
        <v>1305.24</v>
      </c>
      <c r="T90" s="5">
        <v>311.31</v>
      </c>
      <c r="U90" s="5">
        <v>386.03</v>
      </c>
      <c r="V90" s="5">
        <v>3106.4452999999999</v>
      </c>
      <c r="W90" s="5">
        <v>5331.4151000000002</v>
      </c>
      <c r="X90" s="5">
        <v>9485.8130000000001</v>
      </c>
      <c r="Y90" s="5">
        <v>4288.3976000000002</v>
      </c>
      <c r="Z90" s="5">
        <v>6329.8112000000001</v>
      </c>
      <c r="AA90" s="5">
        <v>1249.595</v>
      </c>
      <c r="AB90" s="5">
        <v>16563.45</v>
      </c>
      <c r="AC90" s="5">
        <v>274.25</v>
      </c>
      <c r="AD90" s="5">
        <v>169.95599999999999</v>
      </c>
    </row>
    <row r="91" spans="5:30" ht="15">
      <c r="E91" s="9">
        <v>36830</v>
      </c>
      <c r="F91" s="5">
        <v>153.96</v>
      </c>
      <c r="G91" s="5">
        <v>312.38130000000001</v>
      </c>
      <c r="H91" s="5">
        <v>391.60890000000001</v>
      </c>
      <c r="I91" s="5">
        <v>899.03</v>
      </c>
      <c r="J91" s="5">
        <v>231.72559999999999</v>
      </c>
      <c r="K91" s="5">
        <v>945.32</v>
      </c>
      <c r="L91" s="5">
        <v>1057.1600000000001</v>
      </c>
      <c r="M91" s="5">
        <v>1027.8</v>
      </c>
      <c r="N91" s="5">
        <v>1061.31</v>
      </c>
      <c r="O91" s="5">
        <v>1124.4100000000001</v>
      </c>
      <c r="P91" s="5">
        <v>528.24</v>
      </c>
      <c r="Q91" s="5">
        <v>188.77</v>
      </c>
      <c r="R91" s="5">
        <v>1429.4</v>
      </c>
      <c r="S91" s="5">
        <v>1282.1400000000001</v>
      </c>
      <c r="T91" s="5">
        <v>304.89</v>
      </c>
      <c r="U91" s="5">
        <v>357.85</v>
      </c>
      <c r="V91" s="5">
        <v>3071.3424</v>
      </c>
      <c r="W91" s="5">
        <v>5261.0403999999999</v>
      </c>
      <c r="X91" s="5">
        <v>9295.1481000000003</v>
      </c>
      <c r="Y91" s="5">
        <v>4269.0998</v>
      </c>
      <c r="Z91" s="5">
        <v>6283.6036000000004</v>
      </c>
      <c r="AA91" s="5">
        <v>1196.018</v>
      </c>
      <c r="AB91" s="5">
        <v>15100.22</v>
      </c>
      <c r="AC91" s="5">
        <v>265.14999999999998</v>
      </c>
      <c r="AD91" s="5">
        <v>165.84700000000001</v>
      </c>
    </row>
    <row r="92" spans="5:30" ht="15">
      <c r="E92" s="9">
        <v>36860</v>
      </c>
      <c r="F92" s="5">
        <v>154.80000000000001</v>
      </c>
      <c r="G92" s="5">
        <v>315.32330000000002</v>
      </c>
      <c r="H92" s="5">
        <v>399.6121</v>
      </c>
      <c r="I92" s="5">
        <v>913.73</v>
      </c>
      <c r="J92" s="5">
        <v>235.62469999999999</v>
      </c>
      <c r="K92" s="5">
        <v>959.54</v>
      </c>
      <c r="L92" s="5">
        <v>1069.71</v>
      </c>
      <c r="M92" s="5">
        <v>1039.99</v>
      </c>
      <c r="N92" s="5">
        <v>1071.6099999999999</v>
      </c>
      <c r="O92" s="5">
        <v>1147.21</v>
      </c>
      <c r="P92" s="5">
        <v>507.32</v>
      </c>
      <c r="Q92" s="5">
        <v>188.01</v>
      </c>
      <c r="R92" s="5">
        <v>1314.95</v>
      </c>
      <c r="S92" s="5">
        <v>1203.05</v>
      </c>
      <c r="T92" s="5">
        <v>285.68</v>
      </c>
      <c r="U92" s="5">
        <v>326.36</v>
      </c>
      <c r="V92" s="5">
        <v>3036.9434000000001</v>
      </c>
      <c r="W92" s="5">
        <v>5138.9843000000001</v>
      </c>
      <c r="X92" s="5">
        <v>8895.4567999999999</v>
      </c>
      <c r="Y92" s="5">
        <v>4264.8307000000004</v>
      </c>
      <c r="Z92" s="5">
        <v>6299.3126000000002</v>
      </c>
      <c r="AA92" s="5">
        <v>1210.2570000000001</v>
      </c>
      <c r="AB92" s="5">
        <v>13103.99</v>
      </c>
      <c r="AC92" s="5">
        <v>270.45</v>
      </c>
      <c r="AD92" s="5">
        <v>179.184</v>
      </c>
    </row>
    <row r="93" spans="5:30" ht="15">
      <c r="E93" s="9">
        <v>36889</v>
      </c>
      <c r="F93" s="5">
        <v>155.74</v>
      </c>
      <c r="G93" s="5">
        <v>319.11520000000002</v>
      </c>
      <c r="H93" s="5">
        <v>407.2527</v>
      </c>
      <c r="I93" s="5">
        <v>930.68</v>
      </c>
      <c r="J93" s="5">
        <v>239.01910000000001</v>
      </c>
      <c r="K93" s="5">
        <v>974.99</v>
      </c>
      <c r="L93" s="5">
        <v>1089.6500000000001</v>
      </c>
      <c r="M93" s="5">
        <v>1057.1500000000001</v>
      </c>
      <c r="N93" s="5">
        <v>1099.33</v>
      </c>
      <c r="O93" s="5">
        <v>1151.3</v>
      </c>
      <c r="P93" s="5">
        <v>517.12</v>
      </c>
      <c r="Q93" s="5">
        <v>196.31</v>
      </c>
      <c r="R93" s="5">
        <v>1320.28</v>
      </c>
      <c r="S93" s="5">
        <v>1221.25</v>
      </c>
      <c r="T93" s="5">
        <v>290.11</v>
      </c>
      <c r="U93" s="5">
        <v>333.79</v>
      </c>
      <c r="V93" s="5">
        <v>3067.9202</v>
      </c>
      <c r="W93" s="5">
        <v>5261.8059999999996</v>
      </c>
      <c r="X93" s="5">
        <v>9176.5532000000003</v>
      </c>
      <c r="Y93" s="5">
        <v>4292.1256000000003</v>
      </c>
      <c r="Z93" s="5">
        <v>6589.7109</v>
      </c>
      <c r="AA93" s="5">
        <v>1294.047</v>
      </c>
      <c r="AB93" s="5">
        <v>13212.15</v>
      </c>
      <c r="AC93" s="5">
        <v>272.25</v>
      </c>
      <c r="AD93" s="5">
        <v>184.917</v>
      </c>
    </row>
    <row r="94" spans="5:30" ht="15">
      <c r="E94" s="9">
        <v>36922</v>
      </c>
      <c r="F94" s="5">
        <v>156.75</v>
      </c>
      <c r="G94" s="5">
        <v>323.12569999999999</v>
      </c>
      <c r="H94" s="5">
        <v>410.42140000000001</v>
      </c>
      <c r="I94" s="5">
        <v>945.9</v>
      </c>
      <c r="J94" s="5">
        <v>242.29570000000001</v>
      </c>
      <c r="K94" s="5">
        <v>990.17</v>
      </c>
      <c r="L94" s="5">
        <v>1120.8399999999999</v>
      </c>
      <c r="M94" s="5">
        <v>1092.27</v>
      </c>
      <c r="N94" s="5">
        <v>1125.95</v>
      </c>
      <c r="O94" s="5">
        <v>1174.92</v>
      </c>
      <c r="P94" s="5">
        <v>555.86</v>
      </c>
      <c r="Q94" s="5">
        <v>205.78</v>
      </c>
      <c r="R94" s="5">
        <v>1366.01</v>
      </c>
      <c r="S94" s="5">
        <v>1244.22</v>
      </c>
      <c r="T94" s="5">
        <v>297.27</v>
      </c>
      <c r="U94" s="5">
        <v>379.02</v>
      </c>
      <c r="V94" s="5">
        <v>3121.6088</v>
      </c>
      <c r="W94" s="5">
        <v>5503.3229000000001</v>
      </c>
      <c r="X94" s="5">
        <v>9440.8379000000004</v>
      </c>
      <c r="Y94" s="5">
        <v>4379.6850000000004</v>
      </c>
      <c r="Z94" s="5">
        <v>6731.3896999999997</v>
      </c>
      <c r="AA94" s="5">
        <v>1312.883</v>
      </c>
      <c r="AB94" s="5">
        <v>15178.17</v>
      </c>
      <c r="AC94" s="5">
        <v>265.85000000000002</v>
      </c>
      <c r="AD94" s="5">
        <v>180.57300000000001</v>
      </c>
    </row>
    <row r="95" spans="5:30" ht="15">
      <c r="E95" s="9">
        <v>36950</v>
      </c>
      <c r="F95" s="5">
        <v>157.35</v>
      </c>
      <c r="G95" s="5">
        <v>325.26760000000002</v>
      </c>
      <c r="H95" s="5">
        <v>415.4264</v>
      </c>
      <c r="I95" s="5">
        <v>954.14</v>
      </c>
      <c r="J95" s="5">
        <v>244.42840000000001</v>
      </c>
      <c r="K95" s="5">
        <v>995.84</v>
      </c>
      <c r="L95" s="5">
        <v>1130.31</v>
      </c>
      <c r="M95" s="5">
        <v>1098.47</v>
      </c>
      <c r="N95" s="5">
        <v>1139.47</v>
      </c>
      <c r="O95" s="5">
        <v>1186.25</v>
      </c>
      <c r="P95" s="5">
        <v>563.26</v>
      </c>
      <c r="Q95" s="5">
        <v>203.04</v>
      </c>
      <c r="R95" s="5">
        <v>1239.94</v>
      </c>
      <c r="S95" s="5">
        <v>1137.8800000000001</v>
      </c>
      <c r="T95" s="5">
        <v>271.97000000000003</v>
      </c>
      <c r="U95" s="5">
        <v>349.02</v>
      </c>
      <c r="V95" s="5">
        <v>3108.4980999999998</v>
      </c>
      <c r="W95" s="5">
        <v>5482.4102999999996</v>
      </c>
      <c r="X95" s="5">
        <v>9199.1525000000001</v>
      </c>
      <c r="Y95" s="5">
        <v>4425.6716999999999</v>
      </c>
      <c r="Z95" s="5">
        <v>6616.2830000000004</v>
      </c>
      <c r="AA95" s="5">
        <v>1295.873</v>
      </c>
      <c r="AB95" s="5">
        <v>13936.71</v>
      </c>
      <c r="AC95" s="5">
        <v>267.14999999999998</v>
      </c>
      <c r="AD95" s="5">
        <v>179.81200000000001</v>
      </c>
    </row>
    <row r="96" spans="5:30" ht="15">
      <c r="E96" s="9">
        <v>36980</v>
      </c>
      <c r="F96" s="5">
        <v>158.13</v>
      </c>
      <c r="G96" s="5">
        <v>327.9674</v>
      </c>
      <c r="H96" s="5">
        <v>416.79109999999997</v>
      </c>
      <c r="I96" s="5">
        <v>958.93</v>
      </c>
      <c r="J96" s="5">
        <v>246.03919999999999</v>
      </c>
      <c r="K96" s="5">
        <v>1001.62</v>
      </c>
      <c r="L96" s="5">
        <v>1137.25</v>
      </c>
      <c r="M96" s="5">
        <v>1104.67</v>
      </c>
      <c r="N96" s="5">
        <v>1147.94</v>
      </c>
      <c r="O96" s="5">
        <v>1190.53</v>
      </c>
      <c r="P96" s="5">
        <v>550</v>
      </c>
      <c r="Q96" s="5">
        <v>200.77</v>
      </c>
      <c r="R96" s="5">
        <v>1160.33</v>
      </c>
      <c r="S96" s="5">
        <v>1061.26</v>
      </c>
      <c r="T96" s="5">
        <v>253.12</v>
      </c>
      <c r="U96" s="5">
        <v>313.14</v>
      </c>
      <c r="V96" s="5">
        <v>3104.7678999999998</v>
      </c>
      <c r="W96" s="5">
        <v>5468.7043000000003</v>
      </c>
      <c r="X96" s="5">
        <v>8987.5720000000001</v>
      </c>
      <c r="Y96" s="5">
        <v>4437.1783999999998</v>
      </c>
      <c r="Z96" s="5">
        <v>6671.1980999999996</v>
      </c>
      <c r="AA96" s="5">
        <v>1307.675</v>
      </c>
      <c r="AB96" s="5">
        <v>13290.24</v>
      </c>
      <c r="AC96" s="5">
        <v>257.95</v>
      </c>
      <c r="AD96" s="5">
        <v>172.15100000000001</v>
      </c>
    </row>
    <row r="97" spans="5:30" ht="15">
      <c r="E97" s="9">
        <v>37011</v>
      </c>
      <c r="F97" s="5">
        <v>158.80000000000001</v>
      </c>
      <c r="G97" s="5">
        <v>328.82060000000001</v>
      </c>
      <c r="H97" s="5">
        <v>411.65780000000001</v>
      </c>
      <c r="I97" s="5">
        <v>954.95</v>
      </c>
      <c r="J97" s="5">
        <v>244.8569</v>
      </c>
      <c r="K97" s="5">
        <v>1003.01</v>
      </c>
      <c r="L97" s="5">
        <v>1133.53</v>
      </c>
      <c r="M97" s="5">
        <v>1099.67</v>
      </c>
      <c r="N97" s="5">
        <v>1147.74</v>
      </c>
      <c r="O97" s="5">
        <v>1180.45</v>
      </c>
      <c r="P97" s="5">
        <v>543.15</v>
      </c>
      <c r="Q97" s="5">
        <v>199.8</v>
      </c>
      <c r="R97" s="5">
        <v>1249.46</v>
      </c>
      <c r="S97" s="5">
        <v>1138.0899999999999</v>
      </c>
      <c r="T97" s="5">
        <v>271.08999999999997</v>
      </c>
      <c r="U97" s="5">
        <v>327.71</v>
      </c>
      <c r="V97" s="5">
        <v>3123.3964999999998</v>
      </c>
      <c r="W97" s="5">
        <v>5535.9692999999997</v>
      </c>
      <c r="X97" s="5">
        <v>9191.5899000000009</v>
      </c>
      <c r="Y97" s="5">
        <v>4470.9009999999998</v>
      </c>
      <c r="Z97" s="5">
        <v>6663.1926999999996</v>
      </c>
      <c r="AA97" s="5">
        <v>1342.0630000000001</v>
      </c>
      <c r="AB97" s="5">
        <v>14018.97</v>
      </c>
      <c r="AC97" s="5">
        <v>264.05</v>
      </c>
      <c r="AD97" s="5">
        <v>178.208</v>
      </c>
    </row>
    <row r="98" spans="5:30" ht="15">
      <c r="E98" s="9">
        <v>37042</v>
      </c>
      <c r="F98" s="5">
        <v>159.41999999999999</v>
      </c>
      <c r="G98" s="5">
        <v>330.62979999999999</v>
      </c>
      <c r="H98" s="5">
        <v>413.03879999999998</v>
      </c>
      <c r="I98" s="5">
        <v>960.71</v>
      </c>
      <c r="J98" s="5">
        <v>246.3151</v>
      </c>
      <c r="K98" s="5">
        <v>1009.66</v>
      </c>
      <c r="L98" s="5">
        <v>1143.5899999999999</v>
      </c>
      <c r="M98" s="5">
        <v>1111.25</v>
      </c>
      <c r="N98" s="5">
        <v>1156.07</v>
      </c>
      <c r="O98" s="5">
        <v>1187.81</v>
      </c>
      <c r="P98" s="5">
        <v>552.92999999999995</v>
      </c>
      <c r="Q98" s="5">
        <v>204.62</v>
      </c>
      <c r="R98" s="5">
        <v>1255.82</v>
      </c>
      <c r="S98" s="5">
        <v>1121.0899999999999</v>
      </c>
      <c r="T98" s="5">
        <v>267.37</v>
      </c>
      <c r="U98" s="5">
        <v>330.54</v>
      </c>
      <c r="V98" s="5">
        <v>3154.9427999999998</v>
      </c>
      <c r="W98" s="5">
        <v>5643.3671000000004</v>
      </c>
      <c r="X98" s="5">
        <v>9274.3142000000007</v>
      </c>
      <c r="Y98" s="5">
        <v>4512.4803000000002</v>
      </c>
      <c r="Z98" s="5">
        <v>6656.5294999999996</v>
      </c>
      <c r="AA98" s="5">
        <v>1376.0630000000001</v>
      </c>
      <c r="AB98" s="5">
        <v>15479.08</v>
      </c>
      <c r="AC98" s="5">
        <v>265.85000000000002</v>
      </c>
      <c r="AD98" s="5">
        <v>174.471</v>
      </c>
    </row>
    <row r="99" spans="5:30" ht="15">
      <c r="E99" s="9">
        <v>37071</v>
      </c>
      <c r="F99" s="5">
        <v>159.88</v>
      </c>
      <c r="G99" s="5">
        <v>331.75909999999999</v>
      </c>
      <c r="H99" s="5">
        <v>415.19409999999999</v>
      </c>
      <c r="I99" s="5">
        <v>964.34</v>
      </c>
      <c r="J99" s="5">
        <v>247.54740000000001</v>
      </c>
      <c r="K99" s="5">
        <v>1011.82</v>
      </c>
      <c r="L99" s="5">
        <v>1149.31</v>
      </c>
      <c r="M99" s="5">
        <v>1116.23</v>
      </c>
      <c r="N99" s="5">
        <v>1162.3900000000001</v>
      </c>
      <c r="O99" s="5">
        <v>1195.01</v>
      </c>
      <c r="P99" s="5">
        <v>537.41999999999996</v>
      </c>
      <c r="Q99" s="5">
        <v>207.74</v>
      </c>
      <c r="R99" s="5">
        <v>1224.42</v>
      </c>
      <c r="S99" s="5">
        <v>1084.79</v>
      </c>
      <c r="T99" s="5">
        <v>258.83999999999997</v>
      </c>
      <c r="U99" s="5">
        <v>322.89</v>
      </c>
      <c r="V99" s="5">
        <v>3155.5738000000001</v>
      </c>
      <c r="W99" s="5">
        <v>5706.0084999999999</v>
      </c>
      <c r="X99" s="5">
        <v>9244.6363999999994</v>
      </c>
      <c r="Y99" s="5">
        <v>4502.1016</v>
      </c>
      <c r="Z99" s="5">
        <v>6685.1525000000001</v>
      </c>
      <c r="AA99" s="5">
        <v>1456.511</v>
      </c>
      <c r="AB99" s="5">
        <v>15933.11</v>
      </c>
      <c r="AC99" s="5">
        <v>270.85000000000002</v>
      </c>
      <c r="AD99" s="5">
        <v>167.51300000000001</v>
      </c>
    </row>
    <row r="100" spans="5:30" ht="15">
      <c r="E100" s="9">
        <v>37103</v>
      </c>
      <c r="F100" s="5">
        <v>160.4</v>
      </c>
      <c r="G100" s="5">
        <v>335.512</v>
      </c>
      <c r="H100" s="5">
        <v>425.47539999999998</v>
      </c>
      <c r="I100" s="5">
        <v>985.9</v>
      </c>
      <c r="J100" s="5">
        <v>251.2097</v>
      </c>
      <c r="K100" s="5">
        <v>1029.78</v>
      </c>
      <c r="L100" s="5">
        <v>1180.46</v>
      </c>
      <c r="M100" s="5">
        <v>1148.1500000000001</v>
      </c>
      <c r="N100" s="5">
        <v>1190.3599999999999</v>
      </c>
      <c r="O100" s="5">
        <v>1231.3499999999999</v>
      </c>
      <c r="P100" s="5">
        <v>545.33000000000004</v>
      </c>
      <c r="Q100" s="5">
        <v>196.98</v>
      </c>
      <c r="R100" s="5">
        <v>1211.23</v>
      </c>
      <c r="S100" s="5">
        <v>1069.67</v>
      </c>
      <c r="T100" s="5">
        <v>254.54</v>
      </c>
      <c r="U100" s="5">
        <v>301.67</v>
      </c>
      <c r="V100" s="5">
        <v>3137.587</v>
      </c>
      <c r="W100" s="5">
        <v>5723.1265000000003</v>
      </c>
      <c r="X100" s="5">
        <v>9146.6432000000004</v>
      </c>
      <c r="Y100" s="5">
        <v>4533.6163999999999</v>
      </c>
      <c r="Z100" s="5">
        <v>6665.0971</v>
      </c>
      <c r="AA100" s="5">
        <v>1431.317</v>
      </c>
      <c r="AB100" s="5">
        <v>15458.33</v>
      </c>
      <c r="AC100" s="5">
        <v>266.64999999999998</v>
      </c>
      <c r="AD100" s="5">
        <v>169.69399999999999</v>
      </c>
    </row>
    <row r="101" spans="5:30" ht="15">
      <c r="E101" s="9">
        <v>37134</v>
      </c>
      <c r="F101" s="5">
        <v>160.91</v>
      </c>
      <c r="G101" s="5">
        <v>337.55169999999998</v>
      </c>
      <c r="H101" s="5">
        <v>430.97160000000002</v>
      </c>
      <c r="I101" s="5">
        <v>997.19</v>
      </c>
      <c r="J101" s="5">
        <v>253.5504</v>
      </c>
      <c r="K101" s="5">
        <v>1038.8699999999999</v>
      </c>
      <c r="L101" s="5">
        <v>1195.79</v>
      </c>
      <c r="M101" s="5">
        <v>1163.29</v>
      </c>
      <c r="N101" s="5">
        <v>1205.06</v>
      </c>
      <c r="O101" s="5">
        <v>1248.8699999999999</v>
      </c>
      <c r="P101" s="5">
        <v>551.76</v>
      </c>
      <c r="Q101" s="5">
        <v>205.8</v>
      </c>
      <c r="R101" s="5">
        <v>1133.58</v>
      </c>
      <c r="S101" s="5">
        <v>1016.73</v>
      </c>
      <c r="T101" s="5">
        <v>242.41</v>
      </c>
      <c r="U101" s="5">
        <v>298.17</v>
      </c>
      <c r="V101" s="5">
        <v>3152.6473999999998</v>
      </c>
      <c r="W101" s="5">
        <v>5796.9548999999997</v>
      </c>
      <c r="X101" s="5">
        <v>9035.0542000000005</v>
      </c>
      <c r="Y101" s="5">
        <v>4572.1521000000002</v>
      </c>
      <c r="Z101" s="5">
        <v>6703.0880999999999</v>
      </c>
      <c r="AA101" s="5">
        <v>1479.8009999999999</v>
      </c>
      <c r="AB101" s="5">
        <v>14922.21</v>
      </c>
      <c r="AC101" s="5">
        <v>274.39999999999998</v>
      </c>
      <c r="AD101" s="5">
        <v>169.62</v>
      </c>
    </row>
    <row r="102" spans="5:30" ht="15">
      <c r="E102" s="9">
        <v>37162</v>
      </c>
      <c r="F102" s="5">
        <v>161.63</v>
      </c>
      <c r="G102" s="5">
        <v>343.0215</v>
      </c>
      <c r="H102" s="5">
        <v>437.90620000000001</v>
      </c>
      <c r="I102" s="5">
        <v>1008.81</v>
      </c>
      <c r="J102" s="5">
        <v>255.58879999999999</v>
      </c>
      <c r="K102" s="5">
        <v>1054.43</v>
      </c>
      <c r="L102" s="5">
        <v>1191.78</v>
      </c>
      <c r="M102" s="5">
        <v>1151.58</v>
      </c>
      <c r="N102" s="5">
        <v>1210.72</v>
      </c>
      <c r="O102" s="5">
        <v>1252.02</v>
      </c>
      <c r="P102" s="5">
        <v>514.67999999999995</v>
      </c>
      <c r="Q102" s="5">
        <v>199.07</v>
      </c>
      <c r="R102" s="5">
        <v>1040.94</v>
      </c>
      <c r="S102" s="5">
        <v>926.02</v>
      </c>
      <c r="T102" s="5">
        <v>219.96</v>
      </c>
      <c r="U102" s="5">
        <v>251.4</v>
      </c>
      <c r="V102" s="5">
        <v>3090.2249999999999</v>
      </c>
      <c r="W102" s="5">
        <v>5607.9741999999997</v>
      </c>
      <c r="X102" s="5">
        <v>8698.0467000000008</v>
      </c>
      <c r="Y102" s="5">
        <v>4583.1252999999997</v>
      </c>
      <c r="Z102" s="5">
        <v>6745.3176000000003</v>
      </c>
      <c r="AA102" s="5">
        <v>1420.491</v>
      </c>
      <c r="AB102" s="5">
        <v>13126.12</v>
      </c>
      <c r="AC102" s="5">
        <v>293.25</v>
      </c>
      <c r="AD102" s="5">
        <v>158.178</v>
      </c>
    </row>
    <row r="103" spans="5:30" ht="15">
      <c r="E103" s="9">
        <v>37195</v>
      </c>
      <c r="F103" s="5">
        <v>162.05000000000001</v>
      </c>
      <c r="G103" s="5">
        <v>346.19929999999999</v>
      </c>
      <c r="H103" s="5">
        <v>449.80770000000001</v>
      </c>
      <c r="I103" s="5">
        <v>1029.92</v>
      </c>
      <c r="J103" s="5">
        <v>260.238</v>
      </c>
      <c r="K103" s="5">
        <v>1069.01</v>
      </c>
      <c r="L103" s="5">
        <v>1221.1099999999999</v>
      </c>
      <c r="M103" s="5">
        <v>1185.8</v>
      </c>
      <c r="N103" s="5">
        <v>1233.76</v>
      </c>
      <c r="O103" s="5">
        <v>1275.21</v>
      </c>
      <c r="P103" s="5">
        <v>527.41</v>
      </c>
      <c r="Q103" s="5">
        <v>199.18</v>
      </c>
      <c r="R103" s="5">
        <v>1059.78</v>
      </c>
      <c r="S103" s="5">
        <v>943.2</v>
      </c>
      <c r="T103" s="5">
        <v>224.48</v>
      </c>
      <c r="U103" s="5">
        <v>266.86</v>
      </c>
      <c r="V103" s="5">
        <v>3108.7662999999998</v>
      </c>
      <c r="W103" s="5">
        <v>5724.0591999999997</v>
      </c>
      <c r="X103" s="5">
        <v>8858.9604999999992</v>
      </c>
      <c r="Y103" s="5">
        <v>4622.0817999999999</v>
      </c>
      <c r="Z103" s="5">
        <v>6928.1157000000003</v>
      </c>
      <c r="AA103" s="5">
        <v>1382.22</v>
      </c>
      <c r="AB103" s="5">
        <v>14220.13</v>
      </c>
      <c r="AC103" s="5">
        <v>279.64999999999998</v>
      </c>
      <c r="AD103" s="5">
        <v>150.66999999999999</v>
      </c>
    </row>
    <row r="104" spans="5:30" ht="15">
      <c r="E104" s="9">
        <v>37225</v>
      </c>
      <c r="F104" s="5">
        <v>162.38</v>
      </c>
      <c r="G104" s="5">
        <v>345.46789999999999</v>
      </c>
      <c r="H104" s="5">
        <v>438.85849999999999</v>
      </c>
      <c r="I104" s="5">
        <v>1015.72</v>
      </c>
      <c r="J104" s="5">
        <v>258.06439999999998</v>
      </c>
      <c r="K104" s="5">
        <v>1059.1300000000001</v>
      </c>
      <c r="L104" s="5">
        <v>1210.79</v>
      </c>
      <c r="M104" s="5">
        <v>1177.76</v>
      </c>
      <c r="N104" s="5">
        <v>1227.5</v>
      </c>
      <c r="O104" s="5">
        <v>1239.6600000000001</v>
      </c>
      <c r="P104" s="5">
        <v>546.65</v>
      </c>
      <c r="Q104" s="5">
        <v>196.63</v>
      </c>
      <c r="R104" s="5">
        <v>1139.45</v>
      </c>
      <c r="S104" s="5">
        <v>997.93</v>
      </c>
      <c r="T104" s="5">
        <v>238</v>
      </c>
      <c r="U104" s="5">
        <v>294.43</v>
      </c>
      <c r="V104" s="5">
        <v>3120.8905</v>
      </c>
      <c r="W104" s="5">
        <v>5815.0717999999997</v>
      </c>
      <c r="X104" s="5">
        <v>9033.482</v>
      </c>
      <c r="Y104" s="5">
        <v>4647.0411000000004</v>
      </c>
      <c r="Z104" s="5">
        <v>6937.8150999999998</v>
      </c>
      <c r="AA104" s="5">
        <v>1456.2139999999999</v>
      </c>
      <c r="AB104" s="5">
        <v>15281.86</v>
      </c>
      <c r="AC104" s="5">
        <v>274.39999999999998</v>
      </c>
      <c r="AD104" s="5">
        <v>151.834</v>
      </c>
    </row>
    <row r="105" spans="5:30" ht="15">
      <c r="E105" s="9">
        <v>37256</v>
      </c>
      <c r="F105" s="5">
        <v>162.63999999999999</v>
      </c>
      <c r="G105" s="5">
        <v>345.61869999999999</v>
      </c>
      <c r="H105" s="5">
        <v>434.66579999999999</v>
      </c>
      <c r="I105" s="5">
        <v>1009.27</v>
      </c>
      <c r="J105" s="5">
        <v>256.32740000000001</v>
      </c>
      <c r="K105" s="5">
        <v>1055.1400000000001</v>
      </c>
      <c r="L105" s="5">
        <v>1202.03</v>
      </c>
      <c r="M105" s="5">
        <v>1171.42</v>
      </c>
      <c r="N105" s="5">
        <v>1218.81</v>
      </c>
      <c r="O105" s="5">
        <v>1218.67</v>
      </c>
      <c r="P105" s="5">
        <v>544.41999999999996</v>
      </c>
      <c r="Q105" s="5">
        <v>198.98</v>
      </c>
      <c r="R105" s="5">
        <v>1148.08</v>
      </c>
      <c r="S105" s="5">
        <v>1003.52</v>
      </c>
      <c r="T105" s="5">
        <v>240.03</v>
      </c>
      <c r="U105" s="5">
        <v>317.39999999999998</v>
      </c>
      <c r="V105" s="5">
        <v>3153.6599000000001</v>
      </c>
      <c r="W105" s="5">
        <v>5902.8792999999996</v>
      </c>
      <c r="X105" s="5">
        <v>9213.2482999999993</v>
      </c>
      <c r="Y105" s="5">
        <v>4674.9233000000004</v>
      </c>
      <c r="Z105" s="5">
        <v>7042.5761000000002</v>
      </c>
      <c r="AA105" s="5">
        <v>1494.6510000000001</v>
      </c>
      <c r="AB105" s="5">
        <v>16423.59</v>
      </c>
      <c r="AC105" s="5">
        <v>278.95</v>
      </c>
      <c r="AD105" s="5">
        <v>148.84299999999999</v>
      </c>
    </row>
    <row r="106" spans="5:30" ht="15">
      <c r="E106" s="9">
        <v>37287</v>
      </c>
      <c r="F106" s="5">
        <v>162.87</v>
      </c>
      <c r="G106" s="5">
        <v>346.30939999999998</v>
      </c>
      <c r="H106" s="5">
        <v>437.50979999999998</v>
      </c>
      <c r="I106" s="5">
        <v>1017.44</v>
      </c>
      <c r="J106" s="5">
        <v>257.53429999999997</v>
      </c>
      <c r="K106" s="5">
        <v>1064.9100000000001</v>
      </c>
      <c r="L106" s="5">
        <v>1212.23</v>
      </c>
      <c r="M106" s="5">
        <v>1179.71</v>
      </c>
      <c r="N106" s="5">
        <v>1229.8699999999999</v>
      </c>
      <c r="O106" s="5">
        <v>1235.47</v>
      </c>
      <c r="P106" s="5">
        <v>548.21</v>
      </c>
      <c r="Q106" s="5">
        <v>202.66</v>
      </c>
      <c r="R106" s="5">
        <v>1130.2</v>
      </c>
      <c r="S106" s="5">
        <v>972.42</v>
      </c>
      <c r="T106" s="5">
        <v>233.26</v>
      </c>
      <c r="U106" s="5">
        <v>327.75</v>
      </c>
      <c r="V106" s="5">
        <v>3167.9830000000002</v>
      </c>
      <c r="W106" s="5">
        <v>5949.2617</v>
      </c>
      <c r="X106" s="5">
        <v>9233.9519999999993</v>
      </c>
      <c r="Y106" s="5">
        <v>4722.9107999999997</v>
      </c>
      <c r="Z106" s="5">
        <v>7071.5432000000001</v>
      </c>
      <c r="AA106" s="5">
        <v>1500.3389999999999</v>
      </c>
      <c r="AB106" s="5">
        <v>16643.54</v>
      </c>
      <c r="AC106" s="5">
        <v>282.55</v>
      </c>
      <c r="AD106" s="5">
        <v>147.84200000000001</v>
      </c>
    </row>
    <row r="107" spans="5:30" ht="15">
      <c r="E107" s="9">
        <v>37315</v>
      </c>
      <c r="F107" s="5">
        <v>163.1</v>
      </c>
      <c r="G107" s="5">
        <v>347.99520000000001</v>
      </c>
      <c r="H107" s="5">
        <v>441.56150000000002</v>
      </c>
      <c r="I107" s="5">
        <v>1027.3</v>
      </c>
      <c r="J107" s="5">
        <v>258.90350000000001</v>
      </c>
      <c r="K107" s="5">
        <v>1077.03</v>
      </c>
      <c r="L107" s="5">
        <v>1220.23</v>
      </c>
      <c r="M107" s="5">
        <v>1185.22</v>
      </c>
      <c r="N107" s="5">
        <v>1242.6300000000001</v>
      </c>
      <c r="O107" s="5">
        <v>1239.28</v>
      </c>
      <c r="P107" s="5">
        <v>540.55999999999995</v>
      </c>
      <c r="Q107" s="5">
        <v>210.26</v>
      </c>
      <c r="R107" s="5">
        <v>1106.73</v>
      </c>
      <c r="S107" s="5">
        <v>962.73</v>
      </c>
      <c r="T107" s="5">
        <v>231.21</v>
      </c>
      <c r="U107" s="5">
        <v>332.77</v>
      </c>
      <c r="V107" s="5">
        <v>3164.8941</v>
      </c>
      <c r="W107" s="5">
        <v>5867.7139999999999</v>
      </c>
      <c r="X107" s="5">
        <v>9151.6319999999996</v>
      </c>
      <c r="Y107" s="5">
        <v>4724.8968000000004</v>
      </c>
      <c r="Z107" s="5">
        <v>6986.1259</v>
      </c>
      <c r="AA107" s="5">
        <v>1527.4960000000001</v>
      </c>
      <c r="AB107" s="5">
        <v>15743.87</v>
      </c>
      <c r="AC107" s="5">
        <v>296.55</v>
      </c>
      <c r="AD107" s="5">
        <v>151.673</v>
      </c>
    </row>
    <row r="108" spans="5:30" ht="15">
      <c r="E108" s="9">
        <v>37344</v>
      </c>
      <c r="F108" s="5">
        <v>163.33000000000001</v>
      </c>
      <c r="G108" s="5">
        <v>345.4973</v>
      </c>
      <c r="H108" s="5">
        <v>430.80680000000001</v>
      </c>
      <c r="I108" s="5">
        <v>1010.21</v>
      </c>
      <c r="J108" s="5">
        <v>256.16419999999999</v>
      </c>
      <c r="K108" s="5">
        <v>1065.6199999999999</v>
      </c>
      <c r="L108" s="5">
        <v>1197.56</v>
      </c>
      <c r="M108" s="5">
        <v>1159.8900000000001</v>
      </c>
      <c r="N108" s="5">
        <v>1223.1199999999999</v>
      </c>
      <c r="O108" s="5">
        <v>1221.21</v>
      </c>
      <c r="P108" s="5">
        <v>553.57000000000005</v>
      </c>
      <c r="Q108" s="5">
        <v>210.49</v>
      </c>
      <c r="R108" s="5">
        <v>1147.3900000000001</v>
      </c>
      <c r="S108" s="5">
        <v>1003.6</v>
      </c>
      <c r="T108" s="5">
        <v>241.17</v>
      </c>
      <c r="U108" s="5">
        <v>351.43</v>
      </c>
      <c r="V108" s="5">
        <v>3187.3490000000002</v>
      </c>
      <c r="W108" s="5">
        <v>5979.8684999999996</v>
      </c>
      <c r="X108" s="5">
        <v>9337.15</v>
      </c>
      <c r="Y108" s="5">
        <v>4754.8172000000004</v>
      </c>
      <c r="Z108" s="5">
        <v>7133.6558999999997</v>
      </c>
      <c r="AA108" s="5">
        <v>1618.94</v>
      </c>
      <c r="AB108" s="5">
        <v>17139.57</v>
      </c>
      <c r="AC108" s="5">
        <v>302.64999999999998</v>
      </c>
      <c r="AD108" s="5">
        <v>167.18199999999999</v>
      </c>
    </row>
    <row r="109" spans="5:30" ht="15">
      <c r="E109" s="9">
        <v>37376</v>
      </c>
      <c r="F109" s="5">
        <v>163.61000000000001</v>
      </c>
      <c r="G109" s="5">
        <v>349.48559999999998</v>
      </c>
      <c r="H109" s="5">
        <v>441.35739999999998</v>
      </c>
      <c r="I109" s="5">
        <v>1029.8</v>
      </c>
      <c r="J109" s="5">
        <v>259.61169999999998</v>
      </c>
      <c r="K109" s="5">
        <v>1085.8</v>
      </c>
      <c r="L109" s="5">
        <v>1212.6600000000001</v>
      </c>
      <c r="M109" s="5">
        <v>1163.8900000000001</v>
      </c>
      <c r="N109" s="5">
        <v>1250.9000000000001</v>
      </c>
      <c r="O109" s="5">
        <v>1249.1099999999999</v>
      </c>
      <c r="P109" s="5">
        <v>562.20000000000005</v>
      </c>
      <c r="Q109" s="5">
        <v>212.56</v>
      </c>
      <c r="R109" s="5">
        <v>1076.92</v>
      </c>
      <c r="S109" s="5">
        <v>968.25</v>
      </c>
      <c r="T109" s="5">
        <v>233.13</v>
      </c>
      <c r="U109" s="5">
        <v>352.84</v>
      </c>
      <c r="V109" s="5">
        <v>3208.4695000000002</v>
      </c>
      <c r="W109" s="5">
        <v>5996.3867</v>
      </c>
      <c r="X109" s="5">
        <v>9352.6208999999999</v>
      </c>
      <c r="Y109" s="5">
        <v>4782.9566999999997</v>
      </c>
      <c r="Z109" s="5">
        <v>7161.4772000000003</v>
      </c>
      <c r="AA109" s="5">
        <v>1640.2049999999999</v>
      </c>
      <c r="AB109" s="5">
        <v>17380.830000000002</v>
      </c>
      <c r="AC109" s="5">
        <v>308.45</v>
      </c>
      <c r="AD109" s="5">
        <v>167.18299999999999</v>
      </c>
    </row>
    <row r="110" spans="5:30" ht="15">
      <c r="E110" s="9">
        <v>37407</v>
      </c>
      <c r="F110" s="5">
        <v>163.88</v>
      </c>
      <c r="G110" s="5">
        <v>350.83339999999998</v>
      </c>
      <c r="H110" s="5">
        <v>443.90750000000003</v>
      </c>
      <c r="I110" s="5">
        <v>1038.55</v>
      </c>
      <c r="J110" s="5">
        <v>260.83210000000003</v>
      </c>
      <c r="K110" s="5">
        <v>1093.68</v>
      </c>
      <c r="L110" s="5">
        <v>1229.72</v>
      </c>
      <c r="M110" s="5">
        <v>1182.1400000000001</v>
      </c>
      <c r="N110" s="5">
        <v>1269.82</v>
      </c>
      <c r="O110" s="5">
        <v>1252.06</v>
      </c>
      <c r="P110" s="5">
        <v>559.29999999999995</v>
      </c>
      <c r="Q110" s="5">
        <v>211.46</v>
      </c>
      <c r="R110" s="5">
        <v>1067.1400000000001</v>
      </c>
      <c r="S110" s="5">
        <v>967.85</v>
      </c>
      <c r="T110" s="5">
        <v>232.82</v>
      </c>
      <c r="U110" s="5">
        <v>346.28</v>
      </c>
      <c r="V110" s="5">
        <v>3225.0398</v>
      </c>
      <c r="W110" s="5">
        <v>5976.58</v>
      </c>
      <c r="X110" s="5">
        <v>9352.7932000000001</v>
      </c>
      <c r="Y110" s="5">
        <v>4793.0019000000002</v>
      </c>
      <c r="Z110" s="5">
        <v>7295.6653999999999</v>
      </c>
      <c r="AA110" s="5">
        <v>1663.9090000000001</v>
      </c>
      <c r="AB110" s="5">
        <v>17182.009999999998</v>
      </c>
      <c r="AC110" s="5">
        <v>326.55</v>
      </c>
      <c r="AD110" s="5">
        <v>164.61199999999999</v>
      </c>
    </row>
    <row r="111" spans="5:30" ht="15">
      <c r="E111" s="9">
        <v>37435</v>
      </c>
      <c r="F111" s="5">
        <v>164.14</v>
      </c>
      <c r="G111" s="5">
        <v>353.85950000000003</v>
      </c>
      <c r="H111" s="5">
        <v>450.1662</v>
      </c>
      <c r="I111" s="5">
        <v>1047.53</v>
      </c>
      <c r="J111" s="5">
        <v>263.5455</v>
      </c>
      <c r="K111" s="5">
        <v>1102.7</v>
      </c>
      <c r="L111" s="5">
        <v>1229.8399999999999</v>
      </c>
      <c r="M111" s="5">
        <v>1175.04</v>
      </c>
      <c r="N111" s="5">
        <v>1279.57</v>
      </c>
      <c r="O111" s="5">
        <v>1254.69</v>
      </c>
      <c r="P111" s="5">
        <v>518.05999999999995</v>
      </c>
      <c r="Q111" s="5">
        <v>200.79</v>
      </c>
      <c r="R111" s="5">
        <v>989.81</v>
      </c>
      <c r="S111" s="5">
        <v>907.81</v>
      </c>
      <c r="T111" s="5">
        <v>218.25</v>
      </c>
      <c r="U111" s="5">
        <v>319.75</v>
      </c>
      <c r="V111" s="5">
        <v>3196.7015999999999</v>
      </c>
      <c r="W111" s="5">
        <v>5748.2376000000004</v>
      </c>
      <c r="X111" s="5">
        <v>9106.7009999999991</v>
      </c>
      <c r="Y111" s="5">
        <v>4783.9258</v>
      </c>
      <c r="Z111" s="5">
        <v>7383.3379000000004</v>
      </c>
      <c r="AA111" s="5">
        <v>1709.4739999999999</v>
      </c>
      <c r="AB111" s="5">
        <v>16704.78</v>
      </c>
      <c r="AC111" s="5">
        <v>314.45</v>
      </c>
      <c r="AD111" s="5">
        <v>167.80500000000001</v>
      </c>
    </row>
    <row r="112" spans="5:30" ht="15">
      <c r="E112" s="9">
        <v>37468</v>
      </c>
      <c r="F112" s="5">
        <v>164.38</v>
      </c>
      <c r="G112" s="5">
        <v>358.23360000000002</v>
      </c>
      <c r="H112" s="5">
        <v>460.75439999999998</v>
      </c>
      <c r="I112" s="5">
        <v>1060.17</v>
      </c>
      <c r="J112" s="5">
        <v>266.30239999999998</v>
      </c>
      <c r="K112" s="5">
        <v>1115.32</v>
      </c>
      <c r="L112" s="5">
        <v>1225.3699999999999</v>
      </c>
      <c r="M112" s="5">
        <v>1178.1199999999999</v>
      </c>
      <c r="N112" s="5">
        <v>1290.78</v>
      </c>
      <c r="O112" s="5">
        <v>1157.25</v>
      </c>
      <c r="P112" s="5">
        <v>495.43</v>
      </c>
      <c r="Q112" s="5">
        <v>191.7</v>
      </c>
      <c r="R112" s="5">
        <v>911.62</v>
      </c>
      <c r="S112" s="5">
        <v>830.55</v>
      </c>
      <c r="T112" s="5">
        <v>199.73</v>
      </c>
      <c r="U112" s="5">
        <v>294.62</v>
      </c>
      <c r="V112" s="5">
        <v>3150.4490000000001</v>
      </c>
      <c r="W112" s="5">
        <v>5498.2161999999998</v>
      </c>
      <c r="X112" s="5">
        <v>8748.8369999999995</v>
      </c>
      <c r="Y112" s="5">
        <v>4774.5339000000004</v>
      </c>
      <c r="Z112" s="5">
        <v>7358.3379000000004</v>
      </c>
      <c r="AA112" s="5">
        <v>1623.17</v>
      </c>
      <c r="AB112" s="5">
        <v>14633.57</v>
      </c>
      <c r="AC112" s="5">
        <v>303.55</v>
      </c>
      <c r="AD112" s="5">
        <v>166.89599999999999</v>
      </c>
    </row>
    <row r="113" spans="5:30" ht="15">
      <c r="E113" s="9">
        <v>37498</v>
      </c>
      <c r="F113" s="5">
        <v>164.62</v>
      </c>
      <c r="G113" s="5">
        <v>359.33589999999998</v>
      </c>
      <c r="H113" s="5">
        <v>470.49860000000001</v>
      </c>
      <c r="I113" s="5">
        <v>1078.07</v>
      </c>
      <c r="J113" s="5">
        <v>270.12139999999999</v>
      </c>
      <c r="K113" s="5">
        <v>1124.0899999999999</v>
      </c>
      <c r="L113" s="5">
        <v>1257.8699999999999</v>
      </c>
      <c r="M113" s="5">
        <v>1213.1099999999999</v>
      </c>
      <c r="N113" s="5">
        <v>1312.52</v>
      </c>
      <c r="O113" s="5">
        <v>1214.06</v>
      </c>
      <c r="P113" s="5">
        <v>509.56</v>
      </c>
      <c r="Q113" s="5">
        <v>205.73</v>
      </c>
      <c r="R113" s="5">
        <v>916.07</v>
      </c>
      <c r="S113" s="5">
        <v>830.58</v>
      </c>
      <c r="T113" s="5">
        <v>199.85</v>
      </c>
      <c r="U113" s="5">
        <v>298.89</v>
      </c>
      <c r="V113" s="5">
        <v>3161.1111000000001</v>
      </c>
      <c r="W113" s="5">
        <v>5518.5110000000004</v>
      </c>
      <c r="X113" s="5">
        <v>8773.6653000000006</v>
      </c>
      <c r="Y113" s="5">
        <v>4807.1796999999997</v>
      </c>
      <c r="Z113" s="5">
        <v>7404.6351999999997</v>
      </c>
      <c r="AA113" s="5">
        <v>1622.7760000000001</v>
      </c>
      <c r="AB113" s="5">
        <v>14520.62</v>
      </c>
      <c r="AC113" s="5">
        <v>312.75</v>
      </c>
      <c r="AD113" s="5">
        <v>173.47200000000001</v>
      </c>
    </row>
    <row r="114" spans="5:30" ht="15">
      <c r="E114" s="9">
        <v>37529</v>
      </c>
      <c r="F114" s="5">
        <v>164.88</v>
      </c>
      <c r="G114" s="5">
        <v>362.39089999999999</v>
      </c>
      <c r="H114" s="5">
        <v>483.16820000000001</v>
      </c>
      <c r="I114" s="5">
        <v>1095.53</v>
      </c>
      <c r="J114" s="5">
        <v>273.74669999999998</v>
      </c>
      <c r="K114" s="5">
        <v>1132.07</v>
      </c>
      <c r="L114" s="5">
        <v>1281.8599999999999</v>
      </c>
      <c r="M114" s="5">
        <v>1241.17</v>
      </c>
      <c r="N114" s="5">
        <v>1334.56</v>
      </c>
      <c r="O114" s="5">
        <v>1223.22</v>
      </c>
      <c r="P114" s="5">
        <v>502.87</v>
      </c>
      <c r="Q114" s="5">
        <v>200.03</v>
      </c>
      <c r="R114" s="5">
        <v>815.28</v>
      </c>
      <c r="S114" s="5">
        <v>738.18</v>
      </c>
      <c r="T114" s="5">
        <v>177.63</v>
      </c>
      <c r="U114" s="5">
        <v>266.11</v>
      </c>
      <c r="V114" s="5">
        <v>3149.451</v>
      </c>
      <c r="W114" s="5">
        <v>5436.3852999999999</v>
      </c>
      <c r="X114" s="5">
        <v>8601.5794000000005</v>
      </c>
      <c r="Y114" s="5">
        <v>4821.1869999999999</v>
      </c>
      <c r="Z114" s="5">
        <v>7473.6359000000002</v>
      </c>
      <c r="AA114" s="5">
        <v>1558.643</v>
      </c>
      <c r="AB114" s="5">
        <v>13584.88</v>
      </c>
      <c r="AC114" s="5">
        <v>323.55</v>
      </c>
      <c r="AD114" s="5">
        <v>180.005</v>
      </c>
    </row>
    <row r="115" spans="5:30" ht="15">
      <c r="E115" s="9">
        <v>37560</v>
      </c>
      <c r="F115" s="5">
        <v>165.12</v>
      </c>
      <c r="G115" s="5">
        <v>363.21319999999997</v>
      </c>
      <c r="H115" s="5">
        <v>477.66809999999998</v>
      </c>
      <c r="I115" s="5">
        <v>1090.54</v>
      </c>
      <c r="J115" s="5">
        <v>273.04860000000002</v>
      </c>
      <c r="K115" s="5">
        <v>1136.4000000000001</v>
      </c>
      <c r="L115" s="5">
        <v>1264.6500000000001</v>
      </c>
      <c r="M115" s="5">
        <v>1233.46</v>
      </c>
      <c r="N115" s="5">
        <v>1312.48</v>
      </c>
      <c r="O115" s="5">
        <v>1177.07</v>
      </c>
      <c r="P115" s="5">
        <v>498.48</v>
      </c>
      <c r="Q115" s="5">
        <v>212.34</v>
      </c>
      <c r="R115" s="5">
        <v>885.76</v>
      </c>
      <c r="S115" s="5">
        <v>791.88</v>
      </c>
      <c r="T115" s="5">
        <v>190.49</v>
      </c>
      <c r="U115" s="5">
        <v>283.16000000000003</v>
      </c>
      <c r="V115" s="5">
        <v>3140.4717000000001</v>
      </c>
      <c r="W115" s="5">
        <v>5474.5492000000004</v>
      </c>
      <c r="X115" s="5">
        <v>8649.3765000000003</v>
      </c>
      <c r="Y115" s="5">
        <v>4841.1561000000002</v>
      </c>
      <c r="Z115" s="5">
        <v>7350.6886000000004</v>
      </c>
      <c r="AA115" s="5">
        <v>1487.432</v>
      </c>
      <c r="AB115" s="5">
        <v>14011.94</v>
      </c>
      <c r="AC115" s="5">
        <v>317.75</v>
      </c>
      <c r="AD115" s="5">
        <v>178.148</v>
      </c>
    </row>
    <row r="116" spans="5:30" ht="15">
      <c r="E116" s="9">
        <v>37589</v>
      </c>
      <c r="F116" s="5">
        <v>165.37</v>
      </c>
      <c r="G116" s="5">
        <v>362.02289999999999</v>
      </c>
      <c r="H116" s="5">
        <v>473.11259999999999</v>
      </c>
      <c r="I116" s="5">
        <v>1090.25</v>
      </c>
      <c r="J116" s="5">
        <v>273.37740000000002</v>
      </c>
      <c r="K116" s="5">
        <v>1135.5899999999999</v>
      </c>
      <c r="L116" s="5">
        <v>1284.42</v>
      </c>
      <c r="M116" s="5">
        <v>1253.6099999999999</v>
      </c>
      <c r="N116" s="5">
        <v>1328.57</v>
      </c>
      <c r="O116" s="5">
        <v>1207.17</v>
      </c>
      <c r="P116" s="5">
        <v>529.36</v>
      </c>
      <c r="Q116" s="5">
        <v>218.36</v>
      </c>
      <c r="R116" s="5">
        <v>936.31</v>
      </c>
      <c r="S116" s="5">
        <v>833.47</v>
      </c>
      <c r="T116" s="5">
        <v>200.6</v>
      </c>
      <c r="U116" s="5">
        <v>302.36</v>
      </c>
      <c r="V116" s="5">
        <v>3166.3667</v>
      </c>
      <c r="W116" s="5">
        <v>5634.6292999999996</v>
      </c>
      <c r="X116" s="5">
        <v>8880.3166000000001</v>
      </c>
      <c r="Y116" s="5">
        <v>4895.2415000000001</v>
      </c>
      <c r="Z116" s="5">
        <v>7316.6174000000001</v>
      </c>
      <c r="AA116" s="5">
        <v>1554.8140000000001</v>
      </c>
      <c r="AB116" s="5">
        <v>15669.83</v>
      </c>
      <c r="AC116" s="5">
        <v>318.14999999999998</v>
      </c>
      <c r="AD116" s="5">
        <v>178.65299999999999</v>
      </c>
    </row>
    <row r="117" spans="5:30" ht="15">
      <c r="E117" s="9">
        <v>37621</v>
      </c>
      <c r="F117" s="5">
        <v>165.56</v>
      </c>
      <c r="G117" s="5">
        <v>365.58530000000002</v>
      </c>
      <c r="H117" s="5">
        <v>485.25830000000002</v>
      </c>
      <c r="I117" s="5">
        <v>1112.77</v>
      </c>
      <c r="J117" s="5">
        <v>277.9982</v>
      </c>
      <c r="K117" s="5">
        <v>1147.45</v>
      </c>
      <c r="L117" s="5">
        <v>1323.64</v>
      </c>
      <c r="M117" s="5">
        <v>1294.67</v>
      </c>
      <c r="N117" s="5">
        <v>1366.67</v>
      </c>
      <c r="O117" s="5">
        <v>1238.51</v>
      </c>
      <c r="P117" s="5">
        <v>536.76</v>
      </c>
      <c r="Q117" s="5">
        <v>225.07</v>
      </c>
      <c r="R117" s="5">
        <v>879.82</v>
      </c>
      <c r="S117" s="5">
        <v>792.21</v>
      </c>
      <c r="T117" s="5">
        <v>190.8</v>
      </c>
      <c r="U117" s="5">
        <v>292.08999999999997</v>
      </c>
      <c r="V117" s="5">
        <v>3190.4944</v>
      </c>
      <c r="W117" s="5">
        <v>5649.0540000000001</v>
      </c>
      <c r="X117" s="5">
        <v>8779.5249999999996</v>
      </c>
      <c r="Y117" s="5">
        <v>4929.2635</v>
      </c>
      <c r="Z117" s="5">
        <v>7566.4066999999995</v>
      </c>
      <c r="AA117" s="5">
        <v>1572.605</v>
      </c>
      <c r="AB117" s="5">
        <v>14992.74</v>
      </c>
      <c r="AC117" s="5">
        <v>348.05</v>
      </c>
      <c r="AD117" s="5">
        <v>187.40100000000001</v>
      </c>
    </row>
    <row r="118" spans="5:30" ht="15">
      <c r="E118" s="9">
        <v>37652</v>
      </c>
      <c r="F118" s="5">
        <v>165.74</v>
      </c>
      <c r="G118" s="5">
        <v>365.4735</v>
      </c>
      <c r="H118" s="5">
        <v>483.7278</v>
      </c>
      <c r="I118" s="5">
        <v>1113.72</v>
      </c>
      <c r="J118" s="5">
        <v>279.27699999999999</v>
      </c>
      <c r="K118" s="5">
        <v>1150.25</v>
      </c>
      <c r="L118" s="5">
        <v>1329.21</v>
      </c>
      <c r="M118" s="5">
        <v>1297.47</v>
      </c>
      <c r="N118" s="5">
        <v>1373.5</v>
      </c>
      <c r="O118" s="5">
        <v>1253.69</v>
      </c>
      <c r="P118" s="5">
        <v>554.63</v>
      </c>
      <c r="Q118" s="5">
        <v>228.78</v>
      </c>
      <c r="R118" s="5">
        <v>855.7</v>
      </c>
      <c r="S118" s="5">
        <v>767.48</v>
      </c>
      <c r="T118" s="5">
        <v>185.03</v>
      </c>
      <c r="U118" s="5">
        <v>290.44</v>
      </c>
      <c r="V118" s="5">
        <v>3215.6035999999999</v>
      </c>
      <c r="W118" s="5">
        <v>5723.0001000000002</v>
      </c>
      <c r="X118" s="5">
        <v>8778.9105</v>
      </c>
      <c r="Y118" s="5">
        <v>4979.9363000000003</v>
      </c>
      <c r="Z118" s="5">
        <v>7757.0802000000003</v>
      </c>
      <c r="AA118" s="5">
        <v>1528.7380000000001</v>
      </c>
      <c r="AB118" s="5">
        <v>15078.53</v>
      </c>
      <c r="AC118" s="5">
        <v>368.15</v>
      </c>
      <c r="AD118" s="5">
        <v>201.82599999999999</v>
      </c>
    </row>
    <row r="119" spans="5:30" ht="15">
      <c r="E119" s="9">
        <v>37680</v>
      </c>
      <c r="F119" s="5">
        <v>165.88</v>
      </c>
      <c r="G119" s="5">
        <v>367.03019999999998</v>
      </c>
      <c r="H119" s="5">
        <v>492.08</v>
      </c>
      <c r="I119" s="5">
        <v>1129.1300000000001</v>
      </c>
      <c r="J119" s="5">
        <v>282.07619999999997</v>
      </c>
      <c r="K119" s="5">
        <v>1157.96</v>
      </c>
      <c r="L119" s="5">
        <v>1356.52</v>
      </c>
      <c r="M119" s="5">
        <v>1324.76</v>
      </c>
      <c r="N119" s="5">
        <v>1398.77</v>
      </c>
      <c r="O119" s="5">
        <v>1287.6199999999999</v>
      </c>
      <c r="P119" s="5">
        <v>561.47</v>
      </c>
      <c r="Q119" s="5">
        <v>236.1</v>
      </c>
      <c r="R119" s="5">
        <v>841.15</v>
      </c>
      <c r="S119" s="5">
        <v>752.86</v>
      </c>
      <c r="T119" s="5">
        <v>181.51</v>
      </c>
      <c r="U119" s="5">
        <v>281.29000000000002</v>
      </c>
      <c r="V119" s="5">
        <v>3224.9288999999999</v>
      </c>
      <c r="W119" s="5">
        <v>5717.4488000000001</v>
      </c>
      <c r="X119" s="5">
        <v>8710.2594000000008</v>
      </c>
      <c r="Y119" s="5">
        <v>5014.5469000000003</v>
      </c>
      <c r="Z119" s="5">
        <v>7905.2403999999997</v>
      </c>
      <c r="AA119" s="5">
        <v>1553.5039999999999</v>
      </c>
      <c r="AB119" s="5">
        <v>14741.4</v>
      </c>
      <c r="AC119" s="5">
        <v>349.95</v>
      </c>
      <c r="AD119" s="5">
        <v>208.61699999999999</v>
      </c>
    </row>
    <row r="120" spans="5:30" ht="15">
      <c r="E120" s="9">
        <v>37711</v>
      </c>
      <c r="F120" s="5">
        <v>166.07</v>
      </c>
      <c r="G120" s="5">
        <v>367.66739999999999</v>
      </c>
      <c r="H120" s="5">
        <v>489.9896</v>
      </c>
      <c r="I120" s="5">
        <v>1128.26</v>
      </c>
      <c r="J120" s="5">
        <v>281.8338</v>
      </c>
      <c r="K120" s="5">
        <v>1158.06</v>
      </c>
      <c r="L120" s="5">
        <v>1357.1</v>
      </c>
      <c r="M120" s="5">
        <v>1324.78</v>
      </c>
      <c r="N120" s="5">
        <v>1398.24</v>
      </c>
      <c r="O120" s="5">
        <v>1295.4000000000001</v>
      </c>
      <c r="P120" s="5">
        <v>577.62</v>
      </c>
      <c r="Q120" s="5">
        <v>239.93</v>
      </c>
      <c r="R120" s="5">
        <v>848.18</v>
      </c>
      <c r="S120" s="5">
        <v>748.63</v>
      </c>
      <c r="T120" s="5">
        <v>180.2</v>
      </c>
      <c r="U120" s="5">
        <v>272.27</v>
      </c>
      <c r="V120" s="5">
        <v>3227.3153000000002</v>
      </c>
      <c r="W120" s="5">
        <v>5771.8217000000004</v>
      </c>
      <c r="X120" s="5">
        <v>8704.5977000000003</v>
      </c>
      <c r="Y120" s="5">
        <v>5050.2503999999999</v>
      </c>
      <c r="Z120" s="5">
        <v>7728.8744999999999</v>
      </c>
      <c r="AA120" s="5">
        <v>1585.6210000000001</v>
      </c>
      <c r="AB120" s="5">
        <v>14938.81</v>
      </c>
      <c r="AC120" s="5">
        <v>337.45</v>
      </c>
      <c r="AD120" s="5">
        <v>192.87700000000001</v>
      </c>
    </row>
    <row r="121" spans="5:30" ht="15">
      <c r="E121" s="9">
        <v>37741</v>
      </c>
      <c r="F121" s="5">
        <v>166.22</v>
      </c>
      <c r="G121" s="5">
        <v>368.38720000000001</v>
      </c>
      <c r="H121" s="5">
        <v>492.2722</v>
      </c>
      <c r="I121" s="5">
        <v>1137.57</v>
      </c>
      <c r="J121" s="5">
        <v>283.3655</v>
      </c>
      <c r="K121" s="5">
        <v>1162.9000000000001</v>
      </c>
      <c r="L121" s="5">
        <v>1384.19</v>
      </c>
      <c r="M121" s="5">
        <v>1352.68</v>
      </c>
      <c r="N121" s="5">
        <v>1423.1</v>
      </c>
      <c r="O121" s="5">
        <v>1325.55</v>
      </c>
      <c r="P121" s="5">
        <v>611.89</v>
      </c>
      <c r="Q121" s="5">
        <v>253.6</v>
      </c>
      <c r="R121" s="5">
        <v>916.92</v>
      </c>
      <c r="S121" s="5">
        <v>813.3</v>
      </c>
      <c r="T121" s="5">
        <v>195.75</v>
      </c>
      <c r="U121" s="5">
        <v>295.17</v>
      </c>
      <c r="V121" s="5">
        <v>3264.2680999999998</v>
      </c>
      <c r="W121" s="5">
        <v>5953.7494999999999</v>
      </c>
      <c r="X121" s="5">
        <v>8916.2934999999998</v>
      </c>
      <c r="Y121" s="5">
        <v>5120.1963999999998</v>
      </c>
      <c r="Z121" s="5">
        <v>7823.7078000000001</v>
      </c>
      <c r="AA121" s="5">
        <v>1661.259</v>
      </c>
      <c r="AB121" s="5">
        <v>16420.3</v>
      </c>
      <c r="AC121" s="5">
        <v>338.55</v>
      </c>
      <c r="AD121" s="5">
        <v>191.67599999999999</v>
      </c>
    </row>
    <row r="122" spans="5:30" ht="15">
      <c r="E122" s="9">
        <v>37771</v>
      </c>
      <c r="F122" s="5">
        <v>166.39</v>
      </c>
      <c r="G122" s="5">
        <v>369.76560000000001</v>
      </c>
      <c r="H122" s="5">
        <v>506.5761</v>
      </c>
      <c r="I122" s="5">
        <v>1158.78</v>
      </c>
      <c r="J122" s="5">
        <v>288.25369999999998</v>
      </c>
      <c r="K122" s="5">
        <v>1163.8599999999999</v>
      </c>
      <c r="L122" s="5">
        <v>1429.05</v>
      </c>
      <c r="M122" s="5">
        <v>1402.22</v>
      </c>
      <c r="N122" s="5">
        <v>1462.81</v>
      </c>
      <c r="O122" s="5">
        <v>1364.03</v>
      </c>
      <c r="P122" s="5">
        <v>618.21</v>
      </c>
      <c r="Q122" s="5">
        <v>264.11</v>
      </c>
      <c r="R122" s="5">
        <v>963.59</v>
      </c>
      <c r="S122" s="5">
        <v>857.65</v>
      </c>
      <c r="T122" s="5">
        <v>206.54</v>
      </c>
      <c r="U122" s="5">
        <v>315.44</v>
      </c>
      <c r="V122" s="5">
        <v>3331.6752000000001</v>
      </c>
      <c r="W122" s="5">
        <v>6200.5919999999996</v>
      </c>
      <c r="X122" s="5">
        <v>9279.9892</v>
      </c>
      <c r="Y122" s="5">
        <v>5170.3230999999996</v>
      </c>
      <c r="Z122" s="5">
        <v>8266.9207999999999</v>
      </c>
      <c r="AA122" s="5">
        <v>1762.951</v>
      </c>
      <c r="AB122" s="5">
        <v>18754.25</v>
      </c>
      <c r="AC122" s="5">
        <v>364.45</v>
      </c>
      <c r="AD122" s="5">
        <v>202.881</v>
      </c>
    </row>
    <row r="123" spans="5:30" ht="15">
      <c r="E123" s="9">
        <v>37802</v>
      </c>
      <c r="F123" s="5">
        <v>166.59</v>
      </c>
      <c r="G123" s="5">
        <v>370.29750000000001</v>
      </c>
      <c r="H123" s="5">
        <v>503.38690000000003</v>
      </c>
      <c r="I123" s="5">
        <v>1156.48</v>
      </c>
      <c r="J123" s="5">
        <v>287.32530000000003</v>
      </c>
      <c r="K123" s="5">
        <v>1165.76</v>
      </c>
      <c r="L123" s="5">
        <v>1425.78</v>
      </c>
      <c r="M123" s="5">
        <v>1397.63</v>
      </c>
      <c r="N123" s="5">
        <v>1461.55</v>
      </c>
      <c r="O123" s="5">
        <v>1359.99</v>
      </c>
      <c r="P123" s="5">
        <v>635.99</v>
      </c>
      <c r="Q123" s="5">
        <v>264.10000000000002</v>
      </c>
      <c r="R123" s="5">
        <v>974.5</v>
      </c>
      <c r="S123" s="5">
        <v>871.07</v>
      </c>
      <c r="T123" s="5">
        <v>210.08</v>
      </c>
      <c r="U123" s="5">
        <v>332.68</v>
      </c>
      <c r="V123" s="5">
        <v>3354.5971</v>
      </c>
      <c r="W123" s="5">
        <v>6352.8784999999998</v>
      </c>
      <c r="X123" s="5">
        <v>9420.9521999999997</v>
      </c>
      <c r="Y123" s="5">
        <v>5195.0889999999999</v>
      </c>
      <c r="Z123" s="5">
        <v>8310.8181999999997</v>
      </c>
      <c r="AA123" s="5">
        <v>1808.806</v>
      </c>
      <c r="AB123" s="5">
        <v>19865.89</v>
      </c>
      <c r="AC123" s="5">
        <v>346.4</v>
      </c>
      <c r="AD123" s="5">
        <v>197.86500000000001</v>
      </c>
    </row>
    <row r="124" spans="5:30" ht="15">
      <c r="E124" s="9">
        <v>37833</v>
      </c>
      <c r="F124" s="5">
        <v>166.71</v>
      </c>
      <c r="G124" s="5">
        <v>368.27879999999999</v>
      </c>
      <c r="H124" s="5">
        <v>481.34399999999999</v>
      </c>
      <c r="I124" s="5">
        <v>1117.5999999999999</v>
      </c>
      <c r="J124" s="5">
        <v>281.39859999999999</v>
      </c>
      <c r="K124" s="5">
        <v>1143.92</v>
      </c>
      <c r="L124" s="5">
        <v>1363.85</v>
      </c>
      <c r="M124" s="5">
        <v>1330.17</v>
      </c>
      <c r="N124" s="5">
        <v>1407.12</v>
      </c>
      <c r="O124" s="5">
        <v>1300.8</v>
      </c>
      <c r="P124" s="5">
        <v>629</v>
      </c>
      <c r="Q124" s="5">
        <v>254.75</v>
      </c>
      <c r="R124" s="5">
        <v>990.31</v>
      </c>
      <c r="S124" s="5">
        <v>887.78</v>
      </c>
      <c r="T124" s="5">
        <v>214.46</v>
      </c>
      <c r="U124" s="5">
        <v>352.62</v>
      </c>
      <c r="V124" s="5">
        <v>3361.0043999999998</v>
      </c>
      <c r="W124" s="5">
        <v>6445.6305000000002</v>
      </c>
      <c r="X124" s="5">
        <v>9648.3739999999998</v>
      </c>
      <c r="Y124" s="5">
        <v>5197.0631000000003</v>
      </c>
      <c r="Z124" s="5">
        <v>8371.1546999999991</v>
      </c>
      <c r="AA124" s="5">
        <v>1903.5029999999999</v>
      </c>
      <c r="AB124" s="5">
        <v>21584.42</v>
      </c>
      <c r="AC124" s="5">
        <v>354.35</v>
      </c>
      <c r="AD124" s="5">
        <v>199.05500000000001</v>
      </c>
    </row>
    <row r="125" spans="5:30" ht="15">
      <c r="E125" s="9">
        <v>37862</v>
      </c>
      <c r="F125" s="5">
        <v>166.84</v>
      </c>
      <c r="G125" s="5">
        <v>368.49509999999998</v>
      </c>
      <c r="H125" s="5">
        <v>484.16789999999997</v>
      </c>
      <c r="I125" s="5">
        <v>1125.02</v>
      </c>
      <c r="J125" s="5">
        <v>281.26839999999999</v>
      </c>
      <c r="K125" s="5">
        <v>1152.06</v>
      </c>
      <c r="L125" s="5">
        <v>1375.19</v>
      </c>
      <c r="M125" s="5">
        <v>1343.94</v>
      </c>
      <c r="N125" s="5">
        <v>1417.17</v>
      </c>
      <c r="O125" s="5">
        <v>1304.08</v>
      </c>
      <c r="P125" s="5">
        <v>636.23</v>
      </c>
      <c r="Q125" s="5">
        <v>260.95</v>
      </c>
      <c r="R125" s="5">
        <v>1008.01</v>
      </c>
      <c r="S125" s="5">
        <v>905.32</v>
      </c>
      <c r="T125" s="5">
        <v>219.1</v>
      </c>
      <c r="U125" s="5">
        <v>375.52</v>
      </c>
      <c r="V125" s="5">
        <v>3389.2368999999999</v>
      </c>
      <c r="W125" s="5">
        <v>6571.1913999999997</v>
      </c>
      <c r="X125" s="5">
        <v>9878.1018000000004</v>
      </c>
      <c r="Y125" s="5">
        <v>5216.4480999999996</v>
      </c>
      <c r="Z125" s="5">
        <v>8526.5234</v>
      </c>
      <c r="AA125" s="5">
        <v>1911.694</v>
      </c>
      <c r="AB125" s="5">
        <v>22633.88</v>
      </c>
      <c r="AC125" s="5">
        <v>375.55</v>
      </c>
      <c r="AD125" s="5">
        <v>206.916</v>
      </c>
    </row>
    <row r="126" spans="5:30" ht="15">
      <c r="E126" s="9">
        <v>37894</v>
      </c>
      <c r="F126" s="5">
        <v>167</v>
      </c>
      <c r="G126" s="5">
        <v>371.90809999999999</v>
      </c>
      <c r="H126" s="5">
        <v>498.72129999999999</v>
      </c>
      <c r="I126" s="5">
        <v>1154.8</v>
      </c>
      <c r="J126" s="5">
        <v>286.22550000000001</v>
      </c>
      <c r="K126" s="5">
        <v>1171.69</v>
      </c>
      <c r="L126" s="5">
        <v>1424.43</v>
      </c>
      <c r="M126" s="5">
        <v>1394.83</v>
      </c>
      <c r="N126" s="5">
        <v>1463.85</v>
      </c>
      <c r="O126" s="5">
        <v>1352.33</v>
      </c>
      <c r="P126" s="5">
        <v>653.62</v>
      </c>
      <c r="Q126" s="5">
        <v>270.10000000000002</v>
      </c>
      <c r="R126" s="5">
        <v>995.97</v>
      </c>
      <c r="S126" s="5">
        <v>909.64</v>
      </c>
      <c r="T126" s="5">
        <v>220.15</v>
      </c>
      <c r="U126" s="5">
        <v>377.63</v>
      </c>
      <c r="V126" s="5">
        <v>3428.4164000000001</v>
      </c>
      <c r="W126" s="5">
        <v>6654.5798999999997</v>
      </c>
      <c r="X126" s="5">
        <v>9955.4472999999998</v>
      </c>
      <c r="Y126" s="5">
        <v>5261.1531000000004</v>
      </c>
      <c r="Z126" s="5">
        <v>8719.0522999999994</v>
      </c>
      <c r="AA126" s="5">
        <v>1971.8679999999999</v>
      </c>
      <c r="AB126" s="5">
        <v>23513.82</v>
      </c>
      <c r="AC126" s="5">
        <v>385.35</v>
      </c>
      <c r="AD126" s="5">
        <v>207.089</v>
      </c>
    </row>
    <row r="127" spans="5:30" ht="15">
      <c r="E127" s="9">
        <v>37925</v>
      </c>
      <c r="F127" s="5">
        <v>167.13</v>
      </c>
      <c r="G127" s="5">
        <v>370.47340000000003</v>
      </c>
      <c r="H127" s="5">
        <v>491.18669999999997</v>
      </c>
      <c r="I127" s="5">
        <v>1144.03</v>
      </c>
      <c r="J127" s="5">
        <v>283.529</v>
      </c>
      <c r="K127" s="5">
        <v>1167.6300000000001</v>
      </c>
      <c r="L127" s="5">
        <v>1409.45</v>
      </c>
      <c r="M127" s="5">
        <v>1378.63</v>
      </c>
      <c r="N127" s="5">
        <v>1449.15</v>
      </c>
      <c r="O127" s="5">
        <v>1344.69</v>
      </c>
      <c r="P127" s="5">
        <v>666.82</v>
      </c>
      <c r="Q127" s="5">
        <v>271.42</v>
      </c>
      <c r="R127" s="5">
        <v>1050.71</v>
      </c>
      <c r="S127" s="5">
        <v>962.71</v>
      </c>
      <c r="T127" s="5">
        <v>233.24</v>
      </c>
      <c r="U127" s="5">
        <v>409.11</v>
      </c>
      <c r="V127" s="5">
        <v>3479.8427000000001</v>
      </c>
      <c r="W127" s="5">
        <v>6821.6764000000003</v>
      </c>
      <c r="X127" s="5">
        <v>10265.758599999999</v>
      </c>
      <c r="Y127" s="5">
        <v>5316.7635</v>
      </c>
      <c r="Z127" s="5">
        <v>8869.8047000000006</v>
      </c>
      <c r="AA127" s="5">
        <v>2014.348</v>
      </c>
      <c r="AB127" s="5">
        <v>25616.17</v>
      </c>
      <c r="AC127" s="5">
        <v>384.25</v>
      </c>
      <c r="AD127" s="5">
        <v>216.97900000000001</v>
      </c>
    </row>
    <row r="128" spans="5:30" ht="15">
      <c r="E128" s="9">
        <v>37953</v>
      </c>
      <c r="F128" s="5">
        <v>167.27</v>
      </c>
      <c r="G128" s="5">
        <v>370.2996</v>
      </c>
      <c r="H128" s="5">
        <v>491.89670000000001</v>
      </c>
      <c r="I128" s="5">
        <v>1146.77</v>
      </c>
      <c r="J128" s="5">
        <v>283.93150000000003</v>
      </c>
      <c r="K128" s="5">
        <v>1170.07</v>
      </c>
      <c r="L128" s="5">
        <v>1416.61</v>
      </c>
      <c r="M128" s="5">
        <v>1387.65</v>
      </c>
      <c r="N128" s="5">
        <v>1452.65</v>
      </c>
      <c r="O128" s="5">
        <v>1353.25</v>
      </c>
      <c r="P128" s="5">
        <v>676.93</v>
      </c>
      <c r="Q128" s="5">
        <v>274.76</v>
      </c>
      <c r="R128" s="5">
        <v>1058.2</v>
      </c>
      <c r="S128" s="5">
        <v>976.02</v>
      </c>
      <c r="T128" s="5">
        <v>236.42</v>
      </c>
      <c r="U128" s="5">
        <v>413.33</v>
      </c>
      <c r="V128" s="5">
        <v>3502.2181</v>
      </c>
      <c r="W128" s="5">
        <v>6932.8014999999996</v>
      </c>
      <c r="X128" s="5">
        <v>10382.2749</v>
      </c>
      <c r="Y128" s="5">
        <v>5342.4435000000003</v>
      </c>
      <c r="Z128" s="5">
        <v>8886.9233999999997</v>
      </c>
      <c r="AA128" s="5">
        <v>2105.337</v>
      </c>
      <c r="AB128" s="5">
        <v>26730.3</v>
      </c>
      <c r="AC128" s="5">
        <v>398.15</v>
      </c>
      <c r="AD128" s="5">
        <v>216.29599999999999</v>
      </c>
    </row>
    <row r="129" spans="5:30" ht="15">
      <c r="E129" s="9">
        <v>37986</v>
      </c>
      <c r="F129" s="5">
        <v>167.39</v>
      </c>
      <c r="G129" s="5">
        <v>372.44510000000002</v>
      </c>
      <c r="H129" s="5">
        <v>496.25850000000003</v>
      </c>
      <c r="I129" s="5">
        <v>1158.44</v>
      </c>
      <c r="J129" s="5">
        <v>286.64330000000001</v>
      </c>
      <c r="K129" s="5">
        <v>1182.6400000000001</v>
      </c>
      <c r="L129" s="5">
        <v>1432.74</v>
      </c>
      <c r="M129" s="5">
        <v>1406.29</v>
      </c>
      <c r="N129" s="5">
        <v>1466.21</v>
      </c>
      <c r="O129" s="5">
        <v>1362.53</v>
      </c>
      <c r="P129" s="5">
        <v>692.26</v>
      </c>
      <c r="Q129" s="5">
        <v>282.83</v>
      </c>
      <c r="R129" s="5">
        <v>1111.92</v>
      </c>
      <c r="S129" s="5">
        <v>1036.32</v>
      </c>
      <c r="T129" s="5">
        <v>251.13</v>
      </c>
      <c r="U129" s="5">
        <v>442.78</v>
      </c>
      <c r="V129" s="5">
        <v>3554.8914</v>
      </c>
      <c r="W129" s="5">
        <v>7079.7075000000004</v>
      </c>
      <c r="X129" s="5">
        <v>10582.4452</v>
      </c>
      <c r="Y129" s="5">
        <v>5408.3158000000003</v>
      </c>
      <c r="Z129" s="5">
        <v>9187.4791999999998</v>
      </c>
      <c r="AA129" s="5">
        <v>2177.529</v>
      </c>
      <c r="AB129" s="5">
        <v>27466.91</v>
      </c>
      <c r="AC129" s="5">
        <v>415.45</v>
      </c>
      <c r="AD129" s="5">
        <v>232.249</v>
      </c>
    </row>
    <row r="130" spans="5:30" ht="15">
      <c r="E130" s="9">
        <v>38016</v>
      </c>
      <c r="F130" s="5">
        <v>167.53</v>
      </c>
      <c r="G130" s="5">
        <v>373.1798</v>
      </c>
      <c r="H130" s="5">
        <v>500.44209999999998</v>
      </c>
      <c r="I130" s="5">
        <v>1167.76</v>
      </c>
      <c r="J130" s="5">
        <v>288.3134</v>
      </c>
      <c r="K130" s="5">
        <v>1190.05</v>
      </c>
      <c r="L130" s="5">
        <v>1447.76</v>
      </c>
      <c r="M130" s="5">
        <v>1421.43</v>
      </c>
      <c r="N130" s="5">
        <v>1480.41</v>
      </c>
      <c r="O130" s="5">
        <v>1378.66</v>
      </c>
      <c r="P130" s="5">
        <v>705.47</v>
      </c>
      <c r="Q130" s="5">
        <v>284.27999999999997</v>
      </c>
      <c r="R130" s="5">
        <v>1131.1300000000001</v>
      </c>
      <c r="S130" s="5">
        <v>1052.29</v>
      </c>
      <c r="T130" s="5">
        <v>255.2</v>
      </c>
      <c r="U130" s="5">
        <v>457.19</v>
      </c>
      <c r="V130" s="5">
        <v>3609.5657000000001</v>
      </c>
      <c r="W130" s="5">
        <v>7277.8684999999996</v>
      </c>
      <c r="X130" s="5">
        <v>10788.802900000001</v>
      </c>
      <c r="Y130" s="5">
        <v>5473.8104999999996</v>
      </c>
      <c r="Z130" s="5">
        <v>9246.8302999999996</v>
      </c>
      <c r="AA130" s="5">
        <v>2271.2089999999998</v>
      </c>
      <c r="AB130" s="5">
        <v>29619.57</v>
      </c>
      <c r="AC130" s="5">
        <v>402.45</v>
      </c>
      <c r="AD130" s="5">
        <v>236.46</v>
      </c>
    </row>
    <row r="131" spans="5:30" ht="15">
      <c r="E131" s="9">
        <v>38044</v>
      </c>
      <c r="F131" s="5">
        <v>167.65</v>
      </c>
      <c r="G131" s="5">
        <v>374.98</v>
      </c>
      <c r="H131" s="5">
        <v>506.56830000000002</v>
      </c>
      <c r="I131" s="5">
        <v>1180.4000000000001</v>
      </c>
      <c r="J131" s="5">
        <v>291.21170000000001</v>
      </c>
      <c r="K131" s="5">
        <v>1200.08</v>
      </c>
      <c r="L131" s="5">
        <v>1465.79</v>
      </c>
      <c r="M131" s="5">
        <v>1438.64</v>
      </c>
      <c r="N131" s="5">
        <v>1498.67</v>
      </c>
      <c r="O131" s="5">
        <v>1399.43</v>
      </c>
      <c r="P131" s="5">
        <v>703.7</v>
      </c>
      <c r="Q131" s="5">
        <v>285.27</v>
      </c>
      <c r="R131" s="5">
        <v>1144.94</v>
      </c>
      <c r="S131" s="5">
        <v>1068.6500000000001</v>
      </c>
      <c r="T131" s="5">
        <v>259.51</v>
      </c>
      <c r="U131" s="5">
        <v>477.73</v>
      </c>
      <c r="V131" s="5">
        <v>3648.9459999999999</v>
      </c>
      <c r="W131" s="5">
        <v>7365.3485000000001</v>
      </c>
      <c r="X131" s="5">
        <v>10908.5586</v>
      </c>
      <c r="Y131" s="5">
        <v>5503.9165000000003</v>
      </c>
      <c r="Z131" s="5">
        <v>9431.6743999999999</v>
      </c>
      <c r="AA131" s="5">
        <v>2321.0239999999999</v>
      </c>
      <c r="AB131" s="5">
        <v>29776.86</v>
      </c>
      <c r="AC131" s="5">
        <v>396.15</v>
      </c>
      <c r="AD131" s="5">
        <v>251.80199999999999</v>
      </c>
    </row>
    <row r="132" spans="5:30" ht="15">
      <c r="E132" s="9">
        <v>38077</v>
      </c>
      <c r="F132" s="5">
        <v>167.78</v>
      </c>
      <c r="G132" s="5">
        <v>376.1422</v>
      </c>
      <c r="H132" s="5">
        <v>511.3802</v>
      </c>
      <c r="I132" s="5">
        <v>1189.24</v>
      </c>
      <c r="J132" s="5">
        <v>292.6739</v>
      </c>
      <c r="K132" s="5">
        <v>1205.3399999999999</v>
      </c>
      <c r="L132" s="5">
        <v>1479.63</v>
      </c>
      <c r="M132" s="5">
        <v>1452.27</v>
      </c>
      <c r="N132" s="5">
        <v>1513.2</v>
      </c>
      <c r="O132" s="5">
        <v>1411.02</v>
      </c>
      <c r="P132" s="5">
        <v>708.48</v>
      </c>
      <c r="Q132" s="5">
        <v>292.39</v>
      </c>
      <c r="R132" s="5">
        <v>1126.21</v>
      </c>
      <c r="S132" s="5">
        <v>1059.1600000000001</v>
      </c>
      <c r="T132" s="5">
        <v>257.43</v>
      </c>
      <c r="U132" s="5">
        <v>482.06</v>
      </c>
      <c r="V132" s="5">
        <v>3665.1473999999998</v>
      </c>
      <c r="W132" s="5">
        <v>7369.6203999999998</v>
      </c>
      <c r="X132" s="5">
        <v>10947.720300000001</v>
      </c>
      <c r="Y132" s="5">
        <v>5527.7484000000004</v>
      </c>
      <c r="Z132" s="5">
        <v>9537.5920999999998</v>
      </c>
      <c r="AA132" s="5">
        <v>2450.944</v>
      </c>
      <c r="AB132" s="5">
        <v>29560.43</v>
      </c>
      <c r="AC132" s="5">
        <v>426.45</v>
      </c>
      <c r="AD132" s="5">
        <v>259.577</v>
      </c>
    </row>
    <row r="133" spans="5:30" ht="15">
      <c r="E133" s="9">
        <v>38107</v>
      </c>
      <c r="F133" s="5">
        <v>167.91</v>
      </c>
      <c r="G133" s="5">
        <v>372.42090000000002</v>
      </c>
      <c r="H133" s="5">
        <v>494.95850000000002</v>
      </c>
      <c r="I133" s="5">
        <v>1158.3</v>
      </c>
      <c r="J133" s="5">
        <v>288.18239999999997</v>
      </c>
      <c r="K133" s="5">
        <v>1183.8800000000001</v>
      </c>
      <c r="L133" s="5">
        <v>1433.11</v>
      </c>
      <c r="M133" s="5">
        <v>1406.13</v>
      </c>
      <c r="N133" s="5">
        <v>1467.36</v>
      </c>
      <c r="O133" s="5">
        <v>1363.01</v>
      </c>
      <c r="P133" s="5">
        <v>703.66</v>
      </c>
      <c r="Q133" s="5">
        <v>276.51</v>
      </c>
      <c r="R133" s="5">
        <v>1107.31</v>
      </c>
      <c r="S133" s="5">
        <v>1035.6600000000001</v>
      </c>
      <c r="T133" s="5">
        <v>250.93</v>
      </c>
      <c r="U133" s="5">
        <v>441.3</v>
      </c>
      <c r="V133" s="5">
        <v>3639.1615000000002</v>
      </c>
      <c r="W133" s="5">
        <v>7328.2031999999999</v>
      </c>
      <c r="X133" s="5">
        <v>10720.226699999999</v>
      </c>
      <c r="Y133" s="5">
        <v>5499.7780000000002</v>
      </c>
      <c r="Z133" s="5">
        <v>9266.7245000000003</v>
      </c>
      <c r="AA133" s="5">
        <v>2076.8319999999999</v>
      </c>
      <c r="AB133" s="5">
        <v>28602.81</v>
      </c>
      <c r="AC133" s="5">
        <v>386.75</v>
      </c>
      <c r="AD133" s="5">
        <v>254.97300000000001</v>
      </c>
    </row>
    <row r="134" spans="5:30" ht="15">
      <c r="E134" s="9">
        <v>38138</v>
      </c>
      <c r="F134" s="5">
        <v>168.03</v>
      </c>
      <c r="G134" s="5">
        <v>372.08629999999999</v>
      </c>
      <c r="H134" s="5">
        <v>493.34699999999998</v>
      </c>
      <c r="I134" s="5">
        <v>1153.6600000000001</v>
      </c>
      <c r="J134" s="5">
        <v>287.39019999999999</v>
      </c>
      <c r="K134" s="5">
        <v>1181.29</v>
      </c>
      <c r="L134" s="5">
        <v>1422.74</v>
      </c>
      <c r="M134" s="5">
        <v>1396.35</v>
      </c>
      <c r="N134" s="5">
        <v>1456.1</v>
      </c>
      <c r="O134" s="5">
        <v>1353.2</v>
      </c>
      <c r="P134" s="5">
        <v>691.74</v>
      </c>
      <c r="Q134" s="5">
        <v>272.41000000000003</v>
      </c>
      <c r="R134" s="5">
        <v>1120.68</v>
      </c>
      <c r="S134" s="5">
        <v>1042.6300000000001</v>
      </c>
      <c r="T134" s="5">
        <v>252.28</v>
      </c>
      <c r="U134" s="5">
        <v>431.26</v>
      </c>
      <c r="V134" s="5">
        <v>3607.2096000000001</v>
      </c>
      <c r="W134" s="5">
        <v>7305.3392000000003</v>
      </c>
      <c r="X134" s="5">
        <v>10699.751099999999</v>
      </c>
      <c r="Y134" s="5">
        <v>5480.8037999999997</v>
      </c>
      <c r="Z134" s="5">
        <v>9202.3207999999995</v>
      </c>
      <c r="AA134" s="5">
        <v>2223.4989999999998</v>
      </c>
      <c r="AB134" s="5">
        <v>28412.39</v>
      </c>
      <c r="AC134" s="5">
        <v>395.55</v>
      </c>
      <c r="AD134" s="5">
        <v>259.29599999999999</v>
      </c>
    </row>
    <row r="135" spans="5:30" ht="15">
      <c r="E135" s="9">
        <v>38168</v>
      </c>
      <c r="F135" s="5">
        <v>168.14</v>
      </c>
      <c r="G135" s="5">
        <v>372.06970000000001</v>
      </c>
      <c r="H135" s="5">
        <v>495.42599999999999</v>
      </c>
      <c r="I135" s="5">
        <v>1160.18</v>
      </c>
      <c r="J135" s="5">
        <v>287.90190000000001</v>
      </c>
      <c r="K135" s="5">
        <v>1191.74</v>
      </c>
      <c r="L135" s="5">
        <v>1429.02</v>
      </c>
      <c r="M135" s="5">
        <v>1402.73</v>
      </c>
      <c r="N135" s="5">
        <v>1462.07</v>
      </c>
      <c r="O135" s="5">
        <v>1359.64</v>
      </c>
      <c r="P135" s="5">
        <v>701.66</v>
      </c>
      <c r="Q135" s="5">
        <v>276.41000000000003</v>
      </c>
      <c r="R135" s="5">
        <v>1140.8399999999999</v>
      </c>
      <c r="S135" s="5">
        <v>1062.51</v>
      </c>
      <c r="T135" s="5">
        <v>256.89</v>
      </c>
      <c r="U135" s="5">
        <v>432.2</v>
      </c>
      <c r="V135" s="5">
        <v>3620.1956</v>
      </c>
      <c r="W135" s="5">
        <v>7433.7669999999998</v>
      </c>
      <c r="X135" s="5">
        <v>10813.7034</v>
      </c>
      <c r="Y135" s="5">
        <v>5489.6279000000004</v>
      </c>
      <c r="Z135" s="5">
        <v>9192.1982000000007</v>
      </c>
      <c r="AA135" s="5">
        <v>2290.0419999999999</v>
      </c>
      <c r="AB135" s="5">
        <v>28960.06</v>
      </c>
      <c r="AC135" s="5">
        <v>394.25</v>
      </c>
      <c r="AD135" s="5">
        <v>248.54499999999999</v>
      </c>
    </row>
    <row r="136" spans="5:30" ht="15">
      <c r="E136" s="9">
        <v>38198</v>
      </c>
      <c r="F136" s="5">
        <v>168.33</v>
      </c>
      <c r="G136" s="5">
        <v>373.39359999999999</v>
      </c>
      <c r="H136" s="5">
        <v>499.95670000000001</v>
      </c>
      <c r="I136" s="5">
        <v>1171.68</v>
      </c>
      <c r="J136" s="5">
        <v>289.88339999999999</v>
      </c>
      <c r="K136" s="5">
        <v>1202.42</v>
      </c>
      <c r="L136" s="5">
        <v>1446.8</v>
      </c>
      <c r="M136" s="5">
        <v>1420.44</v>
      </c>
      <c r="N136" s="5">
        <v>1479.1</v>
      </c>
      <c r="O136" s="5">
        <v>1379.74</v>
      </c>
      <c r="P136" s="5">
        <v>711.2</v>
      </c>
      <c r="Q136" s="5">
        <v>284.62</v>
      </c>
      <c r="R136" s="5">
        <v>1101.72</v>
      </c>
      <c r="S136" s="5">
        <v>1026.99</v>
      </c>
      <c r="T136" s="5">
        <v>248.45</v>
      </c>
      <c r="U136" s="5">
        <v>423.14</v>
      </c>
      <c r="V136" s="5">
        <v>3599.7415000000001</v>
      </c>
      <c r="W136" s="5">
        <v>7364.5586000000003</v>
      </c>
      <c r="X136" s="5">
        <v>10610.1895</v>
      </c>
      <c r="Y136" s="5">
        <v>5525.4201999999996</v>
      </c>
      <c r="Z136" s="5">
        <v>9161.9559000000008</v>
      </c>
      <c r="AA136" s="5">
        <v>2291.0070000000001</v>
      </c>
      <c r="AB136" s="5">
        <v>26841.35</v>
      </c>
      <c r="AC136" s="5">
        <v>391.05</v>
      </c>
      <c r="AD136" s="5">
        <v>252.93600000000001</v>
      </c>
    </row>
    <row r="137" spans="5:30" ht="15">
      <c r="E137" s="9">
        <v>38230</v>
      </c>
      <c r="F137" s="5">
        <v>168.54</v>
      </c>
      <c r="G137" s="5">
        <v>375.99450000000002</v>
      </c>
      <c r="H137" s="5">
        <v>510.27890000000002</v>
      </c>
      <c r="I137" s="5">
        <v>1194.03</v>
      </c>
      <c r="J137" s="5">
        <v>294.51429999999999</v>
      </c>
      <c r="K137" s="5">
        <v>1220.96</v>
      </c>
      <c r="L137" s="5">
        <v>1481.2</v>
      </c>
      <c r="M137" s="5">
        <v>1455.4</v>
      </c>
      <c r="N137" s="5">
        <v>1512.39</v>
      </c>
      <c r="O137" s="5">
        <v>1412.96</v>
      </c>
      <c r="P137" s="5">
        <v>725.15</v>
      </c>
      <c r="Q137" s="5">
        <v>296.37</v>
      </c>
      <c r="R137" s="5">
        <v>1104.24</v>
      </c>
      <c r="S137" s="5">
        <v>1029.6300000000001</v>
      </c>
      <c r="T137" s="5">
        <v>249.51</v>
      </c>
      <c r="U137" s="5">
        <v>439.75</v>
      </c>
      <c r="V137" s="5">
        <v>3599.4175</v>
      </c>
      <c r="W137" s="5">
        <v>7400.7186000000002</v>
      </c>
      <c r="X137" s="5">
        <v>10571.250099999999</v>
      </c>
      <c r="Y137" s="5">
        <v>5571.0050000000001</v>
      </c>
      <c r="Z137" s="5">
        <v>9140.6085000000003</v>
      </c>
      <c r="AA137" s="5">
        <v>2471.59</v>
      </c>
      <c r="AB137" s="5">
        <v>26432.69</v>
      </c>
      <c r="AC137" s="5">
        <v>409.85</v>
      </c>
      <c r="AD137" s="5">
        <v>248.32599999999999</v>
      </c>
    </row>
    <row r="138" spans="5:30" ht="15">
      <c r="E138" s="9">
        <v>38260</v>
      </c>
      <c r="F138" s="5">
        <v>168.73</v>
      </c>
      <c r="G138" s="5">
        <v>375.67849999999999</v>
      </c>
      <c r="H138" s="5">
        <v>511.62299999999999</v>
      </c>
      <c r="I138" s="5">
        <v>1197.27</v>
      </c>
      <c r="J138" s="5">
        <v>295.76609999999999</v>
      </c>
      <c r="K138" s="5">
        <v>1222.82</v>
      </c>
      <c r="L138" s="5">
        <v>1490.32</v>
      </c>
      <c r="M138" s="5">
        <v>1465.95</v>
      </c>
      <c r="N138" s="5">
        <v>1518.69</v>
      </c>
      <c r="O138" s="5">
        <v>1424.3</v>
      </c>
      <c r="P138" s="5">
        <v>735.68</v>
      </c>
      <c r="Q138" s="5">
        <v>301.3</v>
      </c>
      <c r="R138" s="5">
        <v>1114.58</v>
      </c>
      <c r="S138" s="5">
        <v>1047.8599999999999</v>
      </c>
      <c r="T138" s="5">
        <v>254.37</v>
      </c>
      <c r="U138" s="5">
        <v>464.15</v>
      </c>
      <c r="V138" s="5">
        <v>3629.0767000000001</v>
      </c>
      <c r="W138" s="5">
        <v>7501.7384000000002</v>
      </c>
      <c r="X138" s="5">
        <v>10781.3009</v>
      </c>
      <c r="Y138" s="5">
        <v>5590.8377</v>
      </c>
      <c r="Z138" s="5">
        <v>9216.9326000000001</v>
      </c>
      <c r="AA138" s="5">
        <v>2476.3829999999998</v>
      </c>
      <c r="AB138" s="5">
        <v>27489.68</v>
      </c>
      <c r="AC138" s="5">
        <v>418.25</v>
      </c>
      <c r="AD138" s="5">
        <v>265.32799999999997</v>
      </c>
    </row>
    <row r="139" spans="5:30" ht="15">
      <c r="E139" s="9">
        <v>38289</v>
      </c>
      <c r="F139" s="5">
        <v>168.94</v>
      </c>
      <c r="G139" s="5">
        <v>376.85070000000002</v>
      </c>
      <c r="H139" s="5">
        <v>515.66160000000002</v>
      </c>
      <c r="I139" s="5">
        <v>1207.31</v>
      </c>
      <c r="J139" s="5">
        <v>297.94799999999998</v>
      </c>
      <c r="K139" s="5">
        <v>1232.67</v>
      </c>
      <c r="L139" s="5">
        <v>1504.87</v>
      </c>
      <c r="M139" s="5">
        <v>1481.32</v>
      </c>
      <c r="N139" s="5">
        <v>1531.22</v>
      </c>
      <c r="O139" s="5">
        <v>1441.22</v>
      </c>
      <c r="P139" s="5">
        <v>748.97</v>
      </c>
      <c r="Q139" s="5">
        <v>306.14999999999998</v>
      </c>
      <c r="R139" s="5">
        <v>1130.2</v>
      </c>
      <c r="S139" s="5">
        <v>1072.7</v>
      </c>
      <c r="T139" s="5">
        <v>260.38</v>
      </c>
      <c r="U139" s="5">
        <v>474.27</v>
      </c>
      <c r="V139" s="5">
        <v>3657.3108999999999</v>
      </c>
      <c r="W139" s="5">
        <v>7613.4393</v>
      </c>
      <c r="X139" s="5">
        <v>10832.512000000001</v>
      </c>
      <c r="Y139" s="5">
        <v>5608.2251999999999</v>
      </c>
      <c r="Z139" s="5">
        <v>9294.1705000000002</v>
      </c>
      <c r="AA139" s="5">
        <v>2588.9630000000002</v>
      </c>
      <c r="AB139" s="5">
        <v>27862.63</v>
      </c>
      <c r="AC139" s="5">
        <v>428.55</v>
      </c>
      <c r="AD139" s="5">
        <v>269.81799999999998</v>
      </c>
    </row>
    <row r="140" spans="5:30" ht="15">
      <c r="E140" s="9">
        <v>38321</v>
      </c>
      <c r="F140" s="5">
        <v>169.16</v>
      </c>
      <c r="G140" s="5">
        <v>374.97109999999998</v>
      </c>
      <c r="H140" s="5">
        <v>508.73149999999998</v>
      </c>
      <c r="I140" s="5">
        <v>1197.68</v>
      </c>
      <c r="J140" s="5">
        <v>298.56700000000001</v>
      </c>
      <c r="K140" s="5">
        <v>1229.5999999999999</v>
      </c>
      <c r="L140" s="5">
        <v>1489.56</v>
      </c>
      <c r="M140" s="5">
        <v>1466.74</v>
      </c>
      <c r="N140" s="5">
        <v>1515.66</v>
      </c>
      <c r="O140" s="5">
        <v>1423.39</v>
      </c>
      <c r="P140" s="5">
        <v>758</v>
      </c>
      <c r="Q140" s="5">
        <v>308.29000000000002</v>
      </c>
      <c r="R140" s="5">
        <v>1173.82</v>
      </c>
      <c r="S140" s="5">
        <v>1127.3399999999999</v>
      </c>
      <c r="T140" s="5">
        <v>274.17</v>
      </c>
      <c r="U140" s="5">
        <v>517.95000000000005</v>
      </c>
      <c r="V140" s="5">
        <v>3753.8272999999999</v>
      </c>
      <c r="W140" s="5">
        <v>7920.4893000000002</v>
      </c>
      <c r="X140" s="5">
        <v>11197.5677</v>
      </c>
      <c r="Y140" s="5">
        <v>5668.0649999999996</v>
      </c>
      <c r="Z140" s="5">
        <v>9554.8719999999994</v>
      </c>
      <c r="AA140" s="5">
        <v>2709.0239999999999</v>
      </c>
      <c r="AB140" s="5">
        <v>30238.55</v>
      </c>
      <c r="AC140" s="5">
        <v>450.95</v>
      </c>
      <c r="AD140" s="5">
        <v>266.58600000000001</v>
      </c>
    </row>
    <row r="141" spans="5:30" ht="15">
      <c r="E141" s="9">
        <v>38352</v>
      </c>
      <c r="F141" s="5">
        <v>169.47</v>
      </c>
      <c r="G141" s="5">
        <v>375.74599999999998</v>
      </c>
      <c r="H141" s="5">
        <v>513.78819999999996</v>
      </c>
      <c r="I141" s="5">
        <v>1208.7</v>
      </c>
      <c r="J141" s="5">
        <v>300.67340000000002</v>
      </c>
      <c r="K141" s="5">
        <v>1238.26</v>
      </c>
      <c r="L141" s="5">
        <v>1509.94</v>
      </c>
      <c r="M141" s="5">
        <v>1489.64</v>
      </c>
      <c r="N141" s="5">
        <v>1531.88</v>
      </c>
      <c r="O141" s="5">
        <v>1444.69</v>
      </c>
      <c r="P141" s="5">
        <v>769.3</v>
      </c>
      <c r="Q141" s="5">
        <v>316.01</v>
      </c>
      <c r="R141" s="5">
        <v>1211.92</v>
      </c>
      <c r="S141" s="5">
        <v>1169.3399999999999</v>
      </c>
      <c r="T141" s="5">
        <v>284.52</v>
      </c>
      <c r="U141" s="5">
        <v>542.16999999999996</v>
      </c>
      <c r="V141" s="5">
        <v>3810.3224</v>
      </c>
      <c r="W141" s="5">
        <v>8142.1837999999998</v>
      </c>
      <c r="X141" s="5">
        <v>11394.7569</v>
      </c>
      <c r="Y141" s="5">
        <v>5710.3487999999998</v>
      </c>
      <c r="Z141" s="5">
        <v>9612.7744999999995</v>
      </c>
      <c r="AA141" s="5">
        <v>2839.7049999999999</v>
      </c>
      <c r="AB141" s="5">
        <v>32185.26</v>
      </c>
      <c r="AC141" s="5">
        <v>438.45</v>
      </c>
      <c r="AD141" s="5">
        <v>253.495</v>
      </c>
    </row>
    <row r="142" spans="5:30" ht="15">
      <c r="E142" s="9">
        <v>38383</v>
      </c>
      <c r="F142" s="5">
        <v>169.77</v>
      </c>
      <c r="G142" s="5">
        <v>375.59429999999998</v>
      </c>
      <c r="H142" s="5">
        <v>517.53319999999997</v>
      </c>
      <c r="I142" s="5">
        <v>1216.29</v>
      </c>
      <c r="J142" s="5">
        <v>302.94900000000001</v>
      </c>
      <c r="K142" s="5">
        <v>1244.8499999999999</v>
      </c>
      <c r="L142" s="5">
        <v>1521.97</v>
      </c>
      <c r="M142" s="5">
        <v>1502.1</v>
      </c>
      <c r="N142" s="5">
        <v>1541.96</v>
      </c>
      <c r="O142" s="5">
        <v>1461.86</v>
      </c>
      <c r="P142" s="5">
        <v>768.3</v>
      </c>
      <c r="Q142" s="5">
        <v>317.99</v>
      </c>
      <c r="R142" s="5">
        <v>1181.27</v>
      </c>
      <c r="S142" s="5">
        <v>1142.3499999999999</v>
      </c>
      <c r="T142" s="5">
        <v>278.3</v>
      </c>
      <c r="U142" s="5">
        <v>542.28</v>
      </c>
      <c r="V142" s="5">
        <v>3810.9702000000002</v>
      </c>
      <c r="W142" s="5">
        <v>8130.1333999999997</v>
      </c>
      <c r="X142" s="5">
        <v>11328.439399999999</v>
      </c>
      <c r="Y142" s="5">
        <v>5727.5369000000001</v>
      </c>
      <c r="Z142" s="5">
        <v>9557.4048999999995</v>
      </c>
      <c r="AA142" s="5">
        <v>2615.0340000000001</v>
      </c>
      <c r="AB142" s="5">
        <v>30845.39</v>
      </c>
      <c r="AC142" s="5">
        <v>422.6</v>
      </c>
      <c r="AD142" s="5">
        <v>256.14</v>
      </c>
    </row>
    <row r="143" spans="5:30" ht="15">
      <c r="E143" s="9">
        <v>38411</v>
      </c>
      <c r="F143" s="5">
        <v>170.04</v>
      </c>
      <c r="G143" s="5">
        <v>374.7371</v>
      </c>
      <c r="H143" s="5">
        <v>513.30610000000001</v>
      </c>
      <c r="I143" s="5">
        <v>1209.1099999999999</v>
      </c>
      <c r="J143" s="5">
        <v>301.68009999999998</v>
      </c>
      <c r="K143" s="5">
        <v>1239.08</v>
      </c>
      <c r="L143" s="5">
        <v>1512.9</v>
      </c>
      <c r="M143" s="5">
        <v>1492.88</v>
      </c>
      <c r="N143" s="5">
        <v>1533.35</v>
      </c>
      <c r="O143" s="5">
        <v>1452.32</v>
      </c>
      <c r="P143" s="5">
        <v>779.6</v>
      </c>
      <c r="Q143" s="5">
        <v>320.11</v>
      </c>
      <c r="R143" s="5">
        <v>1203.5999999999999</v>
      </c>
      <c r="S143" s="5">
        <v>1176.7</v>
      </c>
      <c r="T143" s="5">
        <v>287.49</v>
      </c>
      <c r="U143" s="5">
        <v>588.67999999999995</v>
      </c>
      <c r="V143" s="5">
        <v>3865.0479</v>
      </c>
      <c r="W143" s="5">
        <v>8242.7356999999993</v>
      </c>
      <c r="X143" s="5">
        <v>11569.508599999999</v>
      </c>
      <c r="Y143" s="5">
        <v>5772.3834999999999</v>
      </c>
      <c r="Z143" s="5">
        <v>9730.0116999999991</v>
      </c>
      <c r="AA143" s="5">
        <v>2673.2060000000001</v>
      </c>
      <c r="AB143" s="5">
        <v>30871.07</v>
      </c>
      <c r="AC143" s="5">
        <v>435.65</v>
      </c>
      <c r="AD143" s="5">
        <v>274.23500000000001</v>
      </c>
    </row>
    <row r="144" spans="5:30" ht="15">
      <c r="E144" s="9">
        <v>38442</v>
      </c>
      <c r="F144" s="5">
        <v>170.44</v>
      </c>
      <c r="G144" s="5">
        <v>374.72840000000002</v>
      </c>
      <c r="H144" s="5">
        <v>511.61579999999998</v>
      </c>
      <c r="I144" s="5">
        <v>1202.9000000000001</v>
      </c>
      <c r="J144" s="5">
        <v>302.1499</v>
      </c>
      <c r="K144" s="5">
        <v>1236.78</v>
      </c>
      <c r="L144" s="5">
        <v>1492.85</v>
      </c>
      <c r="M144" s="5">
        <v>1466.74</v>
      </c>
      <c r="N144" s="5">
        <v>1520.96</v>
      </c>
      <c r="O144" s="5">
        <v>1437.12</v>
      </c>
      <c r="P144" s="5">
        <v>756.93</v>
      </c>
      <c r="Q144" s="5">
        <v>311.95999999999998</v>
      </c>
      <c r="R144" s="5">
        <v>1180.5899999999999</v>
      </c>
      <c r="S144" s="5">
        <v>1151.18</v>
      </c>
      <c r="T144" s="5">
        <v>280.51</v>
      </c>
      <c r="U144" s="5">
        <v>548.69000000000005</v>
      </c>
      <c r="V144" s="5">
        <v>3845.1042000000002</v>
      </c>
      <c r="W144" s="5">
        <v>8226.4151000000002</v>
      </c>
      <c r="X144" s="5">
        <v>11447.6816</v>
      </c>
      <c r="Y144" s="5">
        <v>5752.1801999999998</v>
      </c>
      <c r="Z144" s="5">
        <v>9671.5342999999993</v>
      </c>
      <c r="AA144" s="5">
        <v>2624.2530000000002</v>
      </c>
      <c r="AB144" s="5">
        <v>29531.24</v>
      </c>
      <c r="AC144" s="5">
        <v>428.35</v>
      </c>
      <c r="AD144" s="5">
        <v>284.012</v>
      </c>
    </row>
    <row r="145" spans="5:30" ht="15">
      <c r="E145" s="9">
        <v>38471</v>
      </c>
      <c r="F145" s="5">
        <v>170.84</v>
      </c>
      <c r="G145" s="5">
        <v>376.85789999999997</v>
      </c>
      <c r="H145" s="5">
        <v>520.55740000000003</v>
      </c>
      <c r="I145" s="5">
        <v>1219.18</v>
      </c>
      <c r="J145" s="5">
        <v>305.90089999999998</v>
      </c>
      <c r="K145" s="5">
        <v>1250.47</v>
      </c>
      <c r="L145" s="5">
        <v>1512.21</v>
      </c>
      <c r="M145" s="5">
        <v>1481.65</v>
      </c>
      <c r="N145" s="5">
        <v>1544.85</v>
      </c>
      <c r="O145" s="5">
        <v>1462.3</v>
      </c>
      <c r="P145" s="5">
        <v>749.55</v>
      </c>
      <c r="Q145" s="5">
        <v>316.88</v>
      </c>
      <c r="R145" s="5">
        <v>1156.8499999999999</v>
      </c>
      <c r="S145" s="5">
        <v>1123.6400000000001</v>
      </c>
      <c r="T145" s="5">
        <v>273.7</v>
      </c>
      <c r="U145" s="5">
        <v>531.99</v>
      </c>
      <c r="V145" s="5">
        <v>3786.9277999999999</v>
      </c>
      <c r="W145" s="5">
        <v>8086.0725000000002</v>
      </c>
      <c r="X145" s="5">
        <v>11192.169400000001</v>
      </c>
      <c r="Y145" s="5">
        <v>5703.6318000000001</v>
      </c>
      <c r="Z145" s="5">
        <v>9568.9192999999996</v>
      </c>
      <c r="AA145" s="5">
        <v>2747.0309999999999</v>
      </c>
      <c r="AB145" s="5">
        <v>27704.54</v>
      </c>
      <c r="AC145" s="5">
        <v>434.39</v>
      </c>
      <c r="AD145" s="5">
        <v>267.44099999999997</v>
      </c>
    </row>
    <row r="146" spans="5:30" ht="15">
      <c r="E146" s="9">
        <v>38503</v>
      </c>
      <c r="F146" s="5">
        <v>171.28</v>
      </c>
      <c r="G146" s="5">
        <v>378.27260000000001</v>
      </c>
      <c r="H146" s="5">
        <v>527.00340000000006</v>
      </c>
      <c r="I146" s="5">
        <v>1232.3699999999999</v>
      </c>
      <c r="J146" s="5">
        <v>308.88260000000002</v>
      </c>
      <c r="K146" s="5">
        <v>1260.32</v>
      </c>
      <c r="L146" s="5">
        <v>1533</v>
      </c>
      <c r="M146" s="5">
        <v>1503.87</v>
      </c>
      <c r="N146" s="5">
        <v>1562.64</v>
      </c>
      <c r="O146" s="5">
        <v>1486.68</v>
      </c>
      <c r="P146" s="5">
        <v>762.86</v>
      </c>
      <c r="Q146" s="5">
        <v>326.36</v>
      </c>
      <c r="R146" s="5">
        <v>1191.5</v>
      </c>
      <c r="S146" s="5">
        <v>1140.68</v>
      </c>
      <c r="T146" s="5">
        <v>278.07</v>
      </c>
      <c r="U146" s="5">
        <v>548.15</v>
      </c>
      <c r="V146" s="5">
        <v>3795.1453999999999</v>
      </c>
      <c r="W146" s="5">
        <v>8183.1054000000004</v>
      </c>
      <c r="X146" s="5">
        <v>11365.8719</v>
      </c>
      <c r="Y146" s="5">
        <v>5697.7</v>
      </c>
      <c r="Z146" s="5">
        <v>9601.9321</v>
      </c>
      <c r="AA146" s="5">
        <v>2845.2539999999999</v>
      </c>
      <c r="AB146" s="5">
        <v>28943.07</v>
      </c>
      <c r="AC146" s="5">
        <v>417.25</v>
      </c>
      <c r="AD146" s="5">
        <v>265.36500000000001</v>
      </c>
    </row>
    <row r="147" spans="5:30" ht="15">
      <c r="E147" s="9">
        <v>38533</v>
      </c>
      <c r="F147" s="5">
        <v>171.65</v>
      </c>
      <c r="G147" s="5">
        <v>379.00689999999997</v>
      </c>
      <c r="H147" s="5">
        <v>530.25490000000002</v>
      </c>
      <c r="I147" s="5">
        <v>1239.0899999999999</v>
      </c>
      <c r="J147" s="5">
        <v>311.51350000000002</v>
      </c>
      <c r="K147" s="5">
        <v>1264.8900000000001</v>
      </c>
      <c r="L147" s="5">
        <v>1545.57</v>
      </c>
      <c r="M147" s="5">
        <v>1517.65</v>
      </c>
      <c r="N147" s="5">
        <v>1573.28</v>
      </c>
      <c r="O147" s="5">
        <v>1500.66</v>
      </c>
      <c r="P147" s="5">
        <v>777.83</v>
      </c>
      <c r="Q147" s="5">
        <v>332.16</v>
      </c>
      <c r="R147" s="5">
        <v>1191.33</v>
      </c>
      <c r="S147" s="5">
        <v>1148.81</v>
      </c>
      <c r="T147" s="5">
        <v>280.44</v>
      </c>
      <c r="U147" s="5">
        <v>565.16999999999996</v>
      </c>
      <c r="V147" s="5">
        <v>3844.6341000000002</v>
      </c>
      <c r="W147" s="5">
        <v>8291.5314999999991</v>
      </c>
      <c r="X147" s="5">
        <v>11588.642900000001</v>
      </c>
      <c r="Y147" s="5">
        <v>5752.3410000000003</v>
      </c>
      <c r="Z147" s="5">
        <v>9703.2325000000001</v>
      </c>
      <c r="AA147" s="5">
        <v>2978.97</v>
      </c>
      <c r="AB147" s="5">
        <v>30178.94</v>
      </c>
      <c r="AC147" s="5">
        <v>435.5</v>
      </c>
      <c r="AD147" s="5">
        <v>269.83199999999999</v>
      </c>
    </row>
    <row r="148" spans="5:30" ht="15">
      <c r="E148" s="9">
        <v>38562</v>
      </c>
      <c r="F148" s="5">
        <v>172.05</v>
      </c>
      <c r="G148" s="5">
        <v>377.92570000000001</v>
      </c>
      <c r="H148" s="5">
        <v>523.03719999999998</v>
      </c>
      <c r="I148" s="5">
        <v>1227.82</v>
      </c>
      <c r="J148" s="5">
        <v>309.80369999999999</v>
      </c>
      <c r="K148" s="5">
        <v>1258.55</v>
      </c>
      <c r="L148" s="5">
        <v>1530.31</v>
      </c>
      <c r="M148" s="5">
        <v>1503.66</v>
      </c>
      <c r="N148" s="5">
        <v>1557.36</v>
      </c>
      <c r="O148" s="5">
        <v>1482.09</v>
      </c>
      <c r="P148" s="5">
        <v>791.43</v>
      </c>
      <c r="Q148" s="5">
        <v>331.34</v>
      </c>
      <c r="R148" s="5">
        <v>1234.18</v>
      </c>
      <c r="S148" s="5">
        <v>1188.1600000000001</v>
      </c>
      <c r="T148" s="5">
        <v>290.57</v>
      </c>
      <c r="U148" s="5">
        <v>602.55999999999995</v>
      </c>
      <c r="V148" s="5">
        <v>3913.9529000000002</v>
      </c>
      <c r="W148" s="5">
        <v>8486.4653999999991</v>
      </c>
      <c r="X148" s="5">
        <v>11930.392</v>
      </c>
      <c r="Y148" s="5">
        <v>5829.4223000000002</v>
      </c>
      <c r="Z148" s="5">
        <v>9775.1334000000006</v>
      </c>
      <c r="AA148" s="5">
        <v>3174.61</v>
      </c>
      <c r="AB148" s="5">
        <v>32497.7</v>
      </c>
      <c r="AC148" s="5">
        <v>429.8</v>
      </c>
      <c r="AD148" s="5">
        <v>281.92899999999997</v>
      </c>
    </row>
    <row r="149" spans="5:30" ht="15">
      <c r="E149" s="9">
        <v>38595</v>
      </c>
      <c r="F149" s="5">
        <v>172.54</v>
      </c>
      <c r="G149" s="5">
        <v>380.27589999999998</v>
      </c>
      <c r="H149" s="5">
        <v>531.45749999999998</v>
      </c>
      <c r="I149" s="5">
        <v>1243.55</v>
      </c>
      <c r="J149" s="5">
        <v>312.89089999999999</v>
      </c>
      <c r="K149" s="5">
        <v>1269.7</v>
      </c>
      <c r="L149" s="5">
        <v>1553.73</v>
      </c>
      <c r="M149" s="5">
        <v>1526.59</v>
      </c>
      <c r="N149" s="5">
        <v>1580.2</v>
      </c>
      <c r="O149" s="5">
        <v>1509.45</v>
      </c>
      <c r="P149" s="5">
        <v>792.94</v>
      </c>
      <c r="Q149" s="5">
        <v>337.77</v>
      </c>
      <c r="R149" s="5">
        <v>1220.33</v>
      </c>
      <c r="S149" s="5">
        <v>1194.81</v>
      </c>
      <c r="T149" s="5">
        <v>292.2</v>
      </c>
      <c r="U149" s="5">
        <v>606.23</v>
      </c>
      <c r="V149" s="5">
        <v>3947.0648999999999</v>
      </c>
      <c r="W149" s="5">
        <v>8561.7404000000006</v>
      </c>
      <c r="X149" s="5">
        <v>12018.796200000001</v>
      </c>
      <c r="Y149" s="5">
        <v>5869.7035999999998</v>
      </c>
      <c r="Z149" s="5">
        <v>9846.0030999999999</v>
      </c>
      <c r="AA149" s="5">
        <v>3039.82</v>
      </c>
      <c r="AB149" s="5">
        <v>32153.119999999999</v>
      </c>
      <c r="AC149" s="5">
        <v>435.2</v>
      </c>
      <c r="AD149" s="5">
        <v>303.209</v>
      </c>
    </row>
    <row r="150" spans="5:30" ht="15">
      <c r="E150" s="9">
        <v>38625</v>
      </c>
      <c r="F150" s="5">
        <v>173.05</v>
      </c>
      <c r="G150" s="5">
        <v>379.32490000000001</v>
      </c>
      <c r="H150" s="5">
        <v>524.38980000000004</v>
      </c>
      <c r="I150" s="5">
        <v>1230.74</v>
      </c>
      <c r="J150" s="5">
        <v>311.40030000000002</v>
      </c>
      <c r="K150" s="5">
        <v>1263.02</v>
      </c>
      <c r="L150" s="5">
        <v>1528.65</v>
      </c>
      <c r="M150" s="5">
        <v>1498.33</v>
      </c>
      <c r="N150" s="5">
        <v>1560.84</v>
      </c>
      <c r="O150" s="5">
        <v>1478.7</v>
      </c>
      <c r="P150" s="5">
        <v>785.03</v>
      </c>
      <c r="Q150" s="5">
        <v>343.48</v>
      </c>
      <c r="R150" s="5">
        <v>1228.81</v>
      </c>
      <c r="S150" s="5">
        <v>1224.31</v>
      </c>
      <c r="T150" s="5">
        <v>300.60000000000002</v>
      </c>
      <c r="U150" s="5">
        <v>661.32</v>
      </c>
      <c r="V150" s="5">
        <v>4007.2970999999998</v>
      </c>
      <c r="W150" s="5">
        <v>8647.1864999999998</v>
      </c>
      <c r="X150" s="5">
        <v>12289.5797</v>
      </c>
      <c r="Y150" s="5">
        <v>5938.6727000000001</v>
      </c>
      <c r="Z150" s="5">
        <v>10053.5569</v>
      </c>
      <c r="AA150" s="5">
        <v>3036.7539999999999</v>
      </c>
      <c r="AB150" s="5">
        <v>32374.73</v>
      </c>
      <c r="AC150" s="5">
        <v>469.3</v>
      </c>
      <c r="AD150" s="5">
        <v>317.31599999999997</v>
      </c>
    </row>
    <row r="151" spans="5:30" ht="15">
      <c r="E151" s="9">
        <v>38656</v>
      </c>
      <c r="F151" s="5">
        <v>173.51</v>
      </c>
      <c r="G151" s="5">
        <v>379.2645</v>
      </c>
      <c r="H151" s="5">
        <v>520.25599999999997</v>
      </c>
      <c r="I151" s="5">
        <v>1221</v>
      </c>
      <c r="J151" s="5">
        <v>309.44290000000001</v>
      </c>
      <c r="K151" s="5">
        <v>1254.22</v>
      </c>
      <c r="L151" s="5">
        <v>1511</v>
      </c>
      <c r="M151" s="5">
        <v>1478.08</v>
      </c>
      <c r="N151" s="5">
        <v>1547.23</v>
      </c>
      <c r="O151" s="5">
        <v>1458.85</v>
      </c>
      <c r="P151" s="5">
        <v>779.55</v>
      </c>
      <c r="Q151" s="5">
        <v>338.4</v>
      </c>
      <c r="R151" s="5">
        <v>1207.01</v>
      </c>
      <c r="S151" s="5">
        <v>1193.8800000000001</v>
      </c>
      <c r="T151" s="5">
        <v>292.32</v>
      </c>
      <c r="U151" s="5">
        <v>617.41</v>
      </c>
      <c r="V151" s="5">
        <v>3946.7869000000001</v>
      </c>
      <c r="W151" s="5">
        <v>8491.7101000000002</v>
      </c>
      <c r="X151" s="5">
        <v>12059.3959</v>
      </c>
      <c r="Y151" s="5">
        <v>5917.5904</v>
      </c>
      <c r="Z151" s="5">
        <v>9989.8173000000006</v>
      </c>
      <c r="AA151" s="5">
        <v>2953.73</v>
      </c>
      <c r="AB151" s="5">
        <v>31205.56</v>
      </c>
      <c r="AC151" s="5">
        <v>465.19</v>
      </c>
      <c r="AD151" s="5">
        <v>297.37599999999998</v>
      </c>
    </row>
    <row r="152" spans="5:30" ht="15">
      <c r="E152" s="9">
        <v>38686</v>
      </c>
      <c r="F152" s="5">
        <v>174.07</v>
      </c>
      <c r="G152" s="5">
        <v>380.48399999999998</v>
      </c>
      <c r="H152" s="5">
        <v>522.85400000000004</v>
      </c>
      <c r="I152" s="5">
        <v>1226.4000000000001</v>
      </c>
      <c r="J152" s="5">
        <v>310.91449999999998</v>
      </c>
      <c r="K152" s="5">
        <v>1258.3</v>
      </c>
      <c r="L152" s="5">
        <v>1519.88</v>
      </c>
      <c r="M152" s="5">
        <v>1486.13</v>
      </c>
      <c r="N152" s="5">
        <v>1556.65</v>
      </c>
      <c r="O152" s="5">
        <v>1469.41</v>
      </c>
      <c r="P152" s="5">
        <v>783.62</v>
      </c>
      <c r="Q152" s="5">
        <v>343.57</v>
      </c>
      <c r="R152" s="5">
        <v>1249.48</v>
      </c>
      <c r="S152" s="5">
        <v>1231.4100000000001</v>
      </c>
      <c r="T152" s="5">
        <v>302.43</v>
      </c>
      <c r="U152" s="5">
        <v>667.99</v>
      </c>
      <c r="V152" s="5">
        <v>4013.9612999999999</v>
      </c>
      <c r="W152" s="5">
        <v>8601.2531999999992</v>
      </c>
      <c r="X152" s="5">
        <v>12316.864</v>
      </c>
      <c r="Y152" s="5">
        <v>5966.3513000000003</v>
      </c>
      <c r="Z152" s="5">
        <v>10135.8685</v>
      </c>
      <c r="AA152" s="5">
        <v>3081.87</v>
      </c>
      <c r="AB152" s="5">
        <v>32319.06</v>
      </c>
      <c r="AC152" s="5">
        <v>493.08</v>
      </c>
      <c r="AD152" s="5">
        <v>298.14400000000001</v>
      </c>
    </row>
    <row r="153" spans="5:30" ht="15">
      <c r="E153" s="9">
        <v>38716</v>
      </c>
      <c r="F153" s="5">
        <v>174.64</v>
      </c>
      <c r="G153" s="5">
        <v>381.93290000000002</v>
      </c>
      <c r="H153" s="5">
        <v>528.15290000000005</v>
      </c>
      <c r="I153" s="5">
        <v>1238.06</v>
      </c>
      <c r="J153" s="5">
        <v>313.54219999999998</v>
      </c>
      <c r="K153" s="5">
        <v>1270.6099999999999</v>
      </c>
      <c r="L153" s="5">
        <v>1535.25</v>
      </c>
      <c r="M153" s="5">
        <v>1501.3</v>
      </c>
      <c r="N153" s="5">
        <v>1571.23</v>
      </c>
      <c r="O153" s="5">
        <v>1488.36</v>
      </c>
      <c r="P153" s="5">
        <v>790.35</v>
      </c>
      <c r="Q153" s="5">
        <v>349.92</v>
      </c>
      <c r="R153" s="5">
        <v>1248.29</v>
      </c>
      <c r="S153" s="5">
        <v>1257.78</v>
      </c>
      <c r="T153" s="5">
        <v>309.63</v>
      </c>
      <c r="U153" s="5">
        <v>706.48</v>
      </c>
      <c r="V153" s="5">
        <v>4094.5616</v>
      </c>
      <c r="W153" s="5">
        <v>8736.0347999999994</v>
      </c>
      <c r="X153" s="5">
        <v>12602.122600000001</v>
      </c>
      <c r="Y153" s="5">
        <v>6054.3549999999996</v>
      </c>
      <c r="Z153" s="5">
        <v>10265.1008</v>
      </c>
      <c r="AA153" s="5">
        <v>3075.06</v>
      </c>
      <c r="AB153" s="5">
        <v>32576.23</v>
      </c>
      <c r="AC153" s="5">
        <v>517</v>
      </c>
      <c r="AD153" s="5">
        <v>307.64999999999998</v>
      </c>
    </row>
    <row r="154" spans="5:30" ht="15">
      <c r="E154" s="9">
        <v>38748</v>
      </c>
      <c r="F154" s="5">
        <v>175.19</v>
      </c>
      <c r="G154" s="5">
        <v>382.55590000000001</v>
      </c>
      <c r="H154" s="5">
        <v>526.55330000000004</v>
      </c>
      <c r="I154" s="5">
        <v>1238.1300000000001</v>
      </c>
      <c r="J154" s="5">
        <v>313.29020000000003</v>
      </c>
      <c r="K154" s="5">
        <v>1274.7</v>
      </c>
      <c r="L154" s="5">
        <v>1532.02</v>
      </c>
      <c r="M154" s="5">
        <v>1496.92</v>
      </c>
      <c r="N154" s="5">
        <v>1569.83</v>
      </c>
      <c r="O154" s="5">
        <v>1483.33</v>
      </c>
      <c r="P154" s="5">
        <v>802.96</v>
      </c>
      <c r="Q154" s="5">
        <v>354.11</v>
      </c>
      <c r="R154" s="5">
        <v>1280.0899999999999</v>
      </c>
      <c r="S154" s="5">
        <v>1313.21</v>
      </c>
      <c r="T154" s="5">
        <v>324.66000000000003</v>
      </c>
      <c r="U154" s="5">
        <v>783.77</v>
      </c>
      <c r="V154" s="5">
        <v>4210.6833999999999</v>
      </c>
      <c r="W154" s="5">
        <v>9026.2458999999999</v>
      </c>
      <c r="X154" s="5">
        <v>13100.1584</v>
      </c>
      <c r="Y154" s="5">
        <v>6187.4903000000004</v>
      </c>
      <c r="Z154" s="5">
        <v>10511.5658</v>
      </c>
      <c r="AA154" s="5">
        <v>3290.12</v>
      </c>
      <c r="AB154" s="5">
        <v>35481.99</v>
      </c>
      <c r="AC154" s="5">
        <v>568.9</v>
      </c>
      <c r="AD154" s="5">
        <v>313.33999999999997</v>
      </c>
    </row>
    <row r="155" spans="5:30" ht="15">
      <c r="E155" s="9">
        <v>38776</v>
      </c>
      <c r="F155" s="5">
        <v>175.74</v>
      </c>
      <c r="G155" s="5">
        <v>382.87740000000002</v>
      </c>
      <c r="H155" s="5">
        <v>527.44259999999997</v>
      </c>
      <c r="I155" s="5">
        <v>1242.24</v>
      </c>
      <c r="J155" s="5">
        <v>314.19470000000001</v>
      </c>
      <c r="K155" s="5">
        <v>1280.6400000000001</v>
      </c>
      <c r="L155" s="5">
        <v>1538.94</v>
      </c>
      <c r="M155" s="5">
        <v>1505.25</v>
      </c>
      <c r="N155" s="5">
        <v>1574.71</v>
      </c>
      <c r="O155" s="5">
        <v>1491.38</v>
      </c>
      <c r="P155" s="5">
        <v>808.32</v>
      </c>
      <c r="Q155" s="5">
        <v>361.98</v>
      </c>
      <c r="R155" s="5">
        <v>1280.6600000000001</v>
      </c>
      <c r="S155" s="5">
        <v>1309.45</v>
      </c>
      <c r="T155" s="5">
        <v>323.74</v>
      </c>
      <c r="U155" s="5">
        <v>782.11</v>
      </c>
      <c r="V155" s="5">
        <v>4225.2943999999998</v>
      </c>
      <c r="W155" s="5">
        <v>9113.3492000000006</v>
      </c>
      <c r="X155" s="5">
        <v>13102.7785</v>
      </c>
      <c r="Y155" s="5">
        <v>6226.0383000000002</v>
      </c>
      <c r="Z155" s="5">
        <v>10461.951300000001</v>
      </c>
      <c r="AA155" s="5">
        <v>3337.77</v>
      </c>
      <c r="AB155" s="5">
        <v>35546.699999999997</v>
      </c>
      <c r="AC155" s="5">
        <v>561.54999999999995</v>
      </c>
      <c r="AD155" s="5">
        <v>293.72399999999999</v>
      </c>
    </row>
    <row r="156" spans="5:30" ht="15">
      <c r="E156" s="9">
        <v>38807</v>
      </c>
      <c r="F156" s="5">
        <v>176.42</v>
      </c>
      <c r="G156" s="5">
        <v>383.35969999999998</v>
      </c>
      <c r="H156" s="5">
        <v>521.81740000000002</v>
      </c>
      <c r="I156" s="5">
        <v>1230.05</v>
      </c>
      <c r="J156" s="5">
        <v>311.44659999999999</v>
      </c>
      <c r="K156" s="5">
        <v>1269.78</v>
      </c>
      <c r="L156" s="5">
        <v>1517.25</v>
      </c>
      <c r="M156" s="5">
        <v>1480.05</v>
      </c>
      <c r="N156" s="5">
        <v>1558.53</v>
      </c>
      <c r="O156" s="5">
        <v>1465.37</v>
      </c>
      <c r="P156" s="5">
        <v>813.16</v>
      </c>
      <c r="Q156" s="5">
        <v>355.11</v>
      </c>
      <c r="R156" s="5">
        <v>1294.83</v>
      </c>
      <c r="S156" s="5">
        <v>1335.07</v>
      </c>
      <c r="T156" s="5">
        <v>329.79</v>
      </c>
      <c r="U156" s="5">
        <v>787.8</v>
      </c>
      <c r="V156" s="5">
        <v>4295.4766</v>
      </c>
      <c r="W156" s="5">
        <v>9338.9956999999995</v>
      </c>
      <c r="X156" s="5">
        <v>13436.3752</v>
      </c>
      <c r="Y156" s="5">
        <v>6309.0937000000004</v>
      </c>
      <c r="Z156" s="5">
        <v>10581.9498</v>
      </c>
      <c r="AA156" s="5">
        <v>3504.61</v>
      </c>
      <c r="AB156" s="5">
        <v>37102.120000000003</v>
      </c>
      <c r="AC156" s="5">
        <v>583.65</v>
      </c>
      <c r="AD156" s="5">
        <v>300.25700000000001</v>
      </c>
    </row>
    <row r="157" spans="5:30" ht="15">
      <c r="E157" s="9">
        <v>38835</v>
      </c>
      <c r="F157" s="5">
        <v>177.07</v>
      </c>
      <c r="G157" s="5">
        <v>384.5419</v>
      </c>
      <c r="H157" s="5">
        <v>519.654</v>
      </c>
      <c r="I157" s="5">
        <v>1227.82</v>
      </c>
      <c r="J157" s="5">
        <v>310.34179999999998</v>
      </c>
      <c r="K157" s="5">
        <v>1269.8499999999999</v>
      </c>
      <c r="L157" s="5">
        <v>1511.94</v>
      </c>
      <c r="M157" s="5">
        <v>1474.15</v>
      </c>
      <c r="N157" s="5">
        <v>1554.84</v>
      </c>
      <c r="O157" s="5">
        <v>1456.43</v>
      </c>
      <c r="P157" s="5">
        <v>818.17</v>
      </c>
      <c r="Q157" s="5">
        <v>354.81</v>
      </c>
      <c r="R157" s="5">
        <v>1310.6099999999999</v>
      </c>
      <c r="S157" s="5">
        <v>1373.38</v>
      </c>
      <c r="T157" s="5">
        <v>340.19</v>
      </c>
      <c r="U157" s="5">
        <v>841.58</v>
      </c>
      <c r="V157" s="5">
        <v>4369.2299000000003</v>
      </c>
      <c r="W157" s="5">
        <v>9491.1278999999995</v>
      </c>
      <c r="X157" s="5">
        <v>13672.8554</v>
      </c>
      <c r="Y157" s="5">
        <v>6379.4400999999998</v>
      </c>
      <c r="Z157" s="5">
        <v>10874.4349</v>
      </c>
      <c r="AA157" s="5">
        <v>3394.99</v>
      </c>
      <c r="AB157" s="5">
        <v>37097.83</v>
      </c>
      <c r="AC157" s="5">
        <v>654.41999999999996</v>
      </c>
      <c r="AD157" s="5">
        <v>320.61399999999998</v>
      </c>
    </row>
    <row r="158" spans="5:30" ht="15">
      <c r="E158" s="9">
        <v>38868</v>
      </c>
      <c r="F158" s="5">
        <v>177.78</v>
      </c>
      <c r="G158" s="5">
        <v>385.13209999999998</v>
      </c>
      <c r="H158" s="5">
        <v>519.92819999999995</v>
      </c>
      <c r="I158" s="5">
        <v>1226.51</v>
      </c>
      <c r="J158" s="5">
        <v>311.33019999999999</v>
      </c>
      <c r="K158" s="5">
        <v>1267.44</v>
      </c>
      <c r="L158" s="5">
        <v>1509.39</v>
      </c>
      <c r="M158" s="5">
        <v>1470.72</v>
      </c>
      <c r="N158" s="5">
        <v>1554.18</v>
      </c>
      <c r="O158" s="5">
        <v>1450.32</v>
      </c>
      <c r="P158" s="5">
        <v>818.06</v>
      </c>
      <c r="Q158" s="5">
        <v>347.54</v>
      </c>
      <c r="R158" s="5">
        <v>1270.0899999999999</v>
      </c>
      <c r="S158" s="5">
        <v>1322.25</v>
      </c>
      <c r="T158" s="5">
        <v>325.74</v>
      </c>
      <c r="U158" s="5">
        <v>751</v>
      </c>
      <c r="V158" s="5">
        <v>4283.3308999999999</v>
      </c>
      <c r="W158" s="5">
        <v>9439.6859999999997</v>
      </c>
      <c r="X158" s="5">
        <v>13355.235000000001</v>
      </c>
      <c r="Y158" s="5">
        <v>6392.4540999999999</v>
      </c>
      <c r="Z158" s="5">
        <v>10726.107599999999</v>
      </c>
      <c r="AA158" s="5">
        <v>3303.2</v>
      </c>
      <c r="AB158" s="5">
        <v>35020.75</v>
      </c>
      <c r="AC158" s="5">
        <v>645.20000000000005</v>
      </c>
      <c r="AD158" s="5">
        <v>323.68099999999998</v>
      </c>
    </row>
    <row r="159" spans="5:30" ht="15">
      <c r="E159" s="9">
        <v>38898</v>
      </c>
      <c r="F159" s="5">
        <v>178.46</v>
      </c>
      <c r="G159" s="5">
        <v>385.76949999999999</v>
      </c>
      <c r="H159" s="5">
        <v>521.51829999999995</v>
      </c>
      <c r="I159" s="5">
        <v>1229.1099999999999</v>
      </c>
      <c r="J159" s="5">
        <v>311.29520000000002</v>
      </c>
      <c r="K159" s="5">
        <v>1269.8900000000001</v>
      </c>
      <c r="L159" s="5">
        <v>1511.29</v>
      </c>
      <c r="M159" s="5">
        <v>1473.41</v>
      </c>
      <c r="N159" s="5">
        <v>1554.79</v>
      </c>
      <c r="O159" s="5">
        <v>1453.66</v>
      </c>
      <c r="P159" s="5">
        <v>815.19</v>
      </c>
      <c r="Q159" s="5">
        <v>347.52</v>
      </c>
      <c r="R159" s="5">
        <v>1270.2</v>
      </c>
      <c r="S159" s="5">
        <v>1319.93</v>
      </c>
      <c r="T159" s="5">
        <v>325.11</v>
      </c>
      <c r="U159" s="5">
        <v>747.54</v>
      </c>
      <c r="V159" s="5">
        <v>4256.5172000000002</v>
      </c>
      <c r="W159" s="5">
        <v>9428.7360000000008</v>
      </c>
      <c r="X159" s="5">
        <v>13283.7845</v>
      </c>
      <c r="Y159" s="5">
        <v>6427.7404999999999</v>
      </c>
      <c r="Z159" s="5">
        <v>10674.193300000001</v>
      </c>
      <c r="AA159" s="5">
        <v>3468.22</v>
      </c>
      <c r="AB159" s="5">
        <v>34721.85</v>
      </c>
      <c r="AC159" s="5">
        <v>615.85</v>
      </c>
      <c r="AD159" s="5">
        <v>318.65199999999999</v>
      </c>
    </row>
    <row r="160" spans="5:30" ht="15">
      <c r="E160" s="9">
        <v>38929</v>
      </c>
      <c r="F160" s="5">
        <v>179.22</v>
      </c>
      <c r="G160" s="5">
        <v>388.6506</v>
      </c>
      <c r="H160" s="5">
        <v>527.97119999999995</v>
      </c>
      <c r="I160" s="5">
        <v>1245.73</v>
      </c>
      <c r="J160" s="5">
        <v>314.96109999999999</v>
      </c>
      <c r="K160" s="5">
        <v>1288.08</v>
      </c>
      <c r="L160" s="5">
        <v>1533.37</v>
      </c>
      <c r="M160" s="5">
        <v>1494.74</v>
      </c>
      <c r="N160" s="5">
        <v>1577.62</v>
      </c>
      <c r="O160" s="5">
        <v>1475.4</v>
      </c>
      <c r="P160" s="5">
        <v>823.17</v>
      </c>
      <c r="Q160" s="5">
        <v>358.89</v>
      </c>
      <c r="R160" s="5">
        <v>1276.6600000000001</v>
      </c>
      <c r="S160" s="5">
        <v>1327.23</v>
      </c>
      <c r="T160" s="5">
        <v>327.04000000000002</v>
      </c>
      <c r="U160" s="5">
        <v>755.84</v>
      </c>
      <c r="V160" s="5">
        <v>4247.1103000000003</v>
      </c>
      <c r="W160" s="5">
        <v>9387.5324000000001</v>
      </c>
      <c r="X160" s="5">
        <v>13211.786400000001</v>
      </c>
      <c r="Y160" s="5">
        <v>6454.6084000000001</v>
      </c>
      <c r="Z160" s="5">
        <v>10646.440399999999</v>
      </c>
      <c r="AA160" s="5">
        <v>3573.46</v>
      </c>
      <c r="AB160" s="5">
        <v>33365.4</v>
      </c>
      <c r="AC160" s="5">
        <v>636.75</v>
      </c>
      <c r="AD160" s="5">
        <v>328.88099999999997</v>
      </c>
    </row>
    <row r="161" spans="5:30" ht="15">
      <c r="E161" s="9">
        <v>38960</v>
      </c>
      <c r="F161" s="5">
        <v>180.01</v>
      </c>
      <c r="G161" s="5">
        <v>391.40530000000001</v>
      </c>
      <c r="H161" s="5">
        <v>535.72860000000003</v>
      </c>
      <c r="I161" s="5">
        <v>1264.8</v>
      </c>
      <c r="J161" s="5">
        <v>319.67349999999999</v>
      </c>
      <c r="K161" s="5">
        <v>1306.8</v>
      </c>
      <c r="L161" s="5">
        <v>1561.94</v>
      </c>
      <c r="M161" s="5">
        <v>1523.74</v>
      </c>
      <c r="N161" s="5">
        <v>1604.82</v>
      </c>
      <c r="O161" s="5">
        <v>1506.46</v>
      </c>
      <c r="P161" s="5">
        <v>836.52</v>
      </c>
      <c r="Q161" s="5">
        <v>368.23</v>
      </c>
      <c r="R161" s="5">
        <v>1303.82</v>
      </c>
      <c r="S161" s="5">
        <v>1358.87</v>
      </c>
      <c r="T161" s="5">
        <v>334.81</v>
      </c>
      <c r="U161" s="5">
        <v>773.12</v>
      </c>
      <c r="V161" s="5">
        <v>4281.6392999999998</v>
      </c>
      <c r="W161" s="5">
        <v>9486.5709000000006</v>
      </c>
      <c r="X161" s="5">
        <v>13347.8678</v>
      </c>
      <c r="Y161" s="5">
        <v>6500.5006999999996</v>
      </c>
      <c r="Z161" s="5">
        <v>10671.140100000001</v>
      </c>
      <c r="AA161" s="5">
        <v>3693.51</v>
      </c>
      <c r="AB161" s="5">
        <v>34081.230000000003</v>
      </c>
      <c r="AC161" s="5">
        <v>627.29999999999995</v>
      </c>
      <c r="AD161" s="5">
        <v>317.029</v>
      </c>
    </row>
    <row r="162" spans="5:30" ht="15">
      <c r="E162" s="9">
        <v>38989</v>
      </c>
      <c r="F162" s="5">
        <v>180.81</v>
      </c>
      <c r="G162" s="5">
        <v>393.40190000000001</v>
      </c>
      <c r="H162" s="5">
        <v>540.67899999999997</v>
      </c>
      <c r="I162" s="5">
        <v>1275.9100000000001</v>
      </c>
      <c r="J162" s="5">
        <v>321.9735</v>
      </c>
      <c r="K162" s="5">
        <v>1315.94</v>
      </c>
      <c r="L162" s="5">
        <v>1579.83</v>
      </c>
      <c r="M162" s="5">
        <v>1542.1</v>
      </c>
      <c r="N162" s="5">
        <v>1621.25</v>
      </c>
      <c r="O162" s="5">
        <v>1527.53</v>
      </c>
      <c r="P162" s="5">
        <v>848.38</v>
      </c>
      <c r="Q162" s="5">
        <v>370.29</v>
      </c>
      <c r="R162" s="5">
        <v>1335.85</v>
      </c>
      <c r="S162" s="5">
        <v>1373.37</v>
      </c>
      <c r="T162" s="5">
        <v>338.28</v>
      </c>
      <c r="U162" s="5">
        <v>778.16</v>
      </c>
      <c r="V162" s="5">
        <v>4284.8504999999996</v>
      </c>
      <c r="W162" s="5">
        <v>9508.6746000000003</v>
      </c>
      <c r="X162" s="5">
        <v>13368.957399999999</v>
      </c>
      <c r="Y162" s="5">
        <v>6524.5524999999998</v>
      </c>
      <c r="Z162" s="5">
        <v>10590.0394</v>
      </c>
      <c r="AA162" s="5">
        <v>3766.99</v>
      </c>
      <c r="AB162" s="5">
        <v>34141.050000000003</v>
      </c>
      <c r="AC162" s="5">
        <v>598.29999999999995</v>
      </c>
      <c r="AD162" s="5">
        <v>297.94</v>
      </c>
    </row>
    <row r="163" spans="5:30" ht="15">
      <c r="E163" s="9">
        <v>39021</v>
      </c>
      <c r="F163" s="5">
        <v>181.5</v>
      </c>
      <c r="G163" s="5">
        <v>394.94639999999998</v>
      </c>
      <c r="H163" s="5">
        <v>543.45690000000002</v>
      </c>
      <c r="I163" s="5">
        <v>1284.3499999999999</v>
      </c>
      <c r="J163" s="5">
        <v>323.69869999999997</v>
      </c>
      <c r="K163" s="5">
        <v>1325.48</v>
      </c>
      <c r="L163" s="5">
        <v>1592.61</v>
      </c>
      <c r="M163" s="5">
        <v>1554.81</v>
      </c>
      <c r="N163" s="5">
        <v>1633.98</v>
      </c>
      <c r="O163" s="5">
        <v>1540.38</v>
      </c>
      <c r="P163" s="5">
        <v>859.92</v>
      </c>
      <c r="Q163" s="5">
        <v>377.16</v>
      </c>
      <c r="R163" s="5">
        <v>1377.94</v>
      </c>
      <c r="S163" s="5">
        <v>1422.93</v>
      </c>
      <c r="T163" s="5">
        <v>350.75</v>
      </c>
      <c r="U163" s="5">
        <v>814.44</v>
      </c>
      <c r="V163" s="5">
        <v>4354.4794000000002</v>
      </c>
      <c r="W163" s="5">
        <v>9730.1316000000006</v>
      </c>
      <c r="X163" s="5">
        <v>13618.0211</v>
      </c>
      <c r="Y163" s="5">
        <v>6604.6088</v>
      </c>
      <c r="Z163" s="5">
        <v>10710.448200000001</v>
      </c>
      <c r="AA163" s="5">
        <v>4000.04</v>
      </c>
      <c r="AB163" s="5">
        <v>35950.980000000003</v>
      </c>
      <c r="AC163" s="5">
        <v>606.6</v>
      </c>
      <c r="AD163" s="5">
        <v>312.07299999999998</v>
      </c>
    </row>
    <row r="164" spans="5:30" ht="15">
      <c r="E164" s="9">
        <v>39051</v>
      </c>
      <c r="F164" s="5">
        <v>182.27</v>
      </c>
      <c r="G164" s="5">
        <v>396.89800000000002</v>
      </c>
      <c r="H164" s="5">
        <v>549.10950000000003</v>
      </c>
      <c r="I164" s="5">
        <v>1299.25</v>
      </c>
      <c r="J164" s="5">
        <v>326.49979999999999</v>
      </c>
      <c r="K164" s="5">
        <v>1340.68</v>
      </c>
      <c r="L164" s="5">
        <v>1615.96</v>
      </c>
      <c r="M164" s="5">
        <v>1578.36</v>
      </c>
      <c r="N164" s="5">
        <v>1656.35</v>
      </c>
      <c r="O164" s="5">
        <v>1566.02</v>
      </c>
      <c r="P164" s="5">
        <v>874.37</v>
      </c>
      <c r="Q164" s="5">
        <v>381.94</v>
      </c>
      <c r="R164" s="5">
        <v>1400.63</v>
      </c>
      <c r="S164" s="5">
        <v>1455.17</v>
      </c>
      <c r="T164" s="5">
        <v>360.04</v>
      </c>
      <c r="U164" s="5">
        <v>874.08</v>
      </c>
      <c r="V164" s="5">
        <v>4432.1197000000002</v>
      </c>
      <c r="W164" s="5">
        <v>9911.9878000000008</v>
      </c>
      <c r="X164" s="5">
        <v>13890.3815</v>
      </c>
      <c r="Y164" s="5">
        <v>6695.2901000000002</v>
      </c>
      <c r="Z164" s="5">
        <v>10962.8935</v>
      </c>
      <c r="AA164" s="5">
        <v>4174.5</v>
      </c>
      <c r="AB164" s="5">
        <v>36848.86</v>
      </c>
      <c r="AC164" s="5">
        <v>648</v>
      </c>
      <c r="AD164" s="5">
        <v>329.14</v>
      </c>
    </row>
    <row r="165" spans="5:30" ht="15">
      <c r="E165" s="9">
        <v>39080</v>
      </c>
      <c r="F165" s="5">
        <v>183.06</v>
      </c>
      <c r="G165" s="5">
        <v>397.03480000000002</v>
      </c>
      <c r="H165" s="5">
        <v>544.6354</v>
      </c>
      <c r="I165" s="5">
        <v>1291.71</v>
      </c>
      <c r="J165" s="5">
        <v>324.94040000000001</v>
      </c>
      <c r="K165" s="5">
        <v>1336.99</v>
      </c>
      <c r="L165" s="5">
        <v>1601.26</v>
      </c>
      <c r="M165" s="5">
        <v>1560.96</v>
      </c>
      <c r="N165" s="5">
        <v>1645.9</v>
      </c>
      <c r="O165" s="5">
        <v>1547.02</v>
      </c>
      <c r="P165" s="5">
        <v>883.97</v>
      </c>
      <c r="Q165" s="5">
        <v>384.48</v>
      </c>
      <c r="R165" s="5">
        <v>1418.3</v>
      </c>
      <c r="S165" s="5">
        <v>1483.58</v>
      </c>
      <c r="T165" s="5">
        <v>367.78</v>
      </c>
      <c r="U165" s="5">
        <v>912.65</v>
      </c>
      <c r="V165" s="5">
        <v>4511.2773999999999</v>
      </c>
      <c r="W165" s="5">
        <v>10075.535599999999</v>
      </c>
      <c r="X165" s="5">
        <v>14077.346</v>
      </c>
      <c r="Y165" s="5">
        <v>6803.1512000000002</v>
      </c>
      <c r="Z165" s="5">
        <v>11102.1222</v>
      </c>
      <c r="AA165" s="5">
        <v>4121.18</v>
      </c>
      <c r="AB165" s="5">
        <v>37424.559999999998</v>
      </c>
      <c r="AC165" s="5">
        <v>636.70000000000005</v>
      </c>
      <c r="AD165" s="5">
        <v>314.02300000000002</v>
      </c>
    </row>
    <row r="166" spans="5:30" ht="15">
      <c r="E166" s="9">
        <v>39113</v>
      </c>
      <c r="F166" s="5">
        <v>183.81</v>
      </c>
      <c r="G166" s="5">
        <v>397.81319999999999</v>
      </c>
      <c r="H166" s="5">
        <v>543.71590000000003</v>
      </c>
      <c r="I166" s="5">
        <v>1291.18</v>
      </c>
      <c r="J166" s="5">
        <v>324.81060000000002</v>
      </c>
      <c r="K166" s="5">
        <v>1337.85</v>
      </c>
      <c r="L166" s="5">
        <v>1601.38</v>
      </c>
      <c r="M166" s="5">
        <v>1561.74</v>
      </c>
      <c r="N166" s="5">
        <v>1645.32</v>
      </c>
      <c r="O166" s="5">
        <v>1546.9</v>
      </c>
      <c r="P166" s="5">
        <v>893.84</v>
      </c>
      <c r="Q166" s="5">
        <v>383.31</v>
      </c>
      <c r="R166" s="5">
        <v>1438.24</v>
      </c>
      <c r="S166" s="5">
        <v>1500.23</v>
      </c>
      <c r="T166" s="5">
        <v>371.2</v>
      </c>
      <c r="U166" s="5">
        <v>901.48</v>
      </c>
      <c r="V166" s="5">
        <v>4569.6634999999997</v>
      </c>
      <c r="W166" s="5">
        <v>10234.159299999999</v>
      </c>
      <c r="X166" s="5">
        <v>14240.284299999999</v>
      </c>
      <c r="Y166" s="5">
        <v>6896.1414999999997</v>
      </c>
      <c r="Z166" s="5">
        <v>11143.4002</v>
      </c>
      <c r="AA166" s="5">
        <v>4445.83</v>
      </c>
      <c r="AB166" s="5">
        <v>38098.410000000003</v>
      </c>
      <c r="AC166" s="5">
        <v>653.20000000000005</v>
      </c>
      <c r="AD166" s="5">
        <v>314.68400000000003</v>
      </c>
    </row>
    <row r="167" spans="5:30" ht="15">
      <c r="E167" s="9">
        <v>39141</v>
      </c>
      <c r="F167" s="5">
        <v>184.52</v>
      </c>
      <c r="G167" s="5">
        <v>401.05619999999999</v>
      </c>
      <c r="H167" s="5">
        <v>552.7491</v>
      </c>
      <c r="I167" s="5">
        <v>1311.09</v>
      </c>
      <c r="J167" s="5">
        <v>328.88799999999998</v>
      </c>
      <c r="K167" s="5">
        <v>1354.35</v>
      </c>
      <c r="L167" s="5">
        <v>1634.36</v>
      </c>
      <c r="M167" s="5">
        <v>1598</v>
      </c>
      <c r="N167" s="5">
        <v>1673.37</v>
      </c>
      <c r="O167" s="5">
        <v>1583.73</v>
      </c>
      <c r="P167" s="5">
        <v>906.34</v>
      </c>
      <c r="Q167" s="5">
        <v>389.89</v>
      </c>
      <c r="R167" s="5">
        <v>1406.82</v>
      </c>
      <c r="S167" s="5">
        <v>1490.44</v>
      </c>
      <c r="T167" s="5">
        <v>368.78</v>
      </c>
      <c r="U167" s="5">
        <v>895.54</v>
      </c>
      <c r="V167" s="5">
        <v>4607.1220000000003</v>
      </c>
      <c r="W167" s="5">
        <v>10338.946099999999</v>
      </c>
      <c r="X167" s="5">
        <v>14329.5723</v>
      </c>
      <c r="Y167" s="5">
        <v>6948.2947000000004</v>
      </c>
      <c r="Z167" s="5">
        <v>11168.290499999999</v>
      </c>
      <c r="AA167" s="5">
        <v>4317.28</v>
      </c>
      <c r="AB167" s="5">
        <v>37946.18</v>
      </c>
      <c r="AC167" s="5">
        <v>669.35</v>
      </c>
      <c r="AD167" s="5">
        <v>325.28100000000001</v>
      </c>
    </row>
    <row r="168" spans="5:30" ht="15">
      <c r="E168" s="9">
        <v>39171</v>
      </c>
      <c r="F168" s="5">
        <v>185.34</v>
      </c>
      <c r="G168" s="5">
        <v>402.44880000000001</v>
      </c>
      <c r="H168" s="5">
        <v>552.34500000000003</v>
      </c>
      <c r="I168" s="5">
        <v>1311.13</v>
      </c>
      <c r="J168" s="5">
        <v>328.76139999999998</v>
      </c>
      <c r="K168" s="5">
        <v>1357.92</v>
      </c>
      <c r="L168" s="5">
        <v>1624.99</v>
      </c>
      <c r="M168" s="5">
        <v>1587.33</v>
      </c>
      <c r="N168" s="5">
        <v>1665.99</v>
      </c>
      <c r="O168" s="5">
        <v>1572.62</v>
      </c>
      <c r="P168" s="5">
        <v>907.3</v>
      </c>
      <c r="Q168" s="5">
        <v>393.69</v>
      </c>
      <c r="R168" s="5">
        <v>1420.86</v>
      </c>
      <c r="S168" s="5">
        <v>1514.18</v>
      </c>
      <c r="T168" s="5">
        <v>375.3</v>
      </c>
      <c r="U168" s="5">
        <v>929.03</v>
      </c>
      <c r="V168" s="5">
        <v>4660.3311000000003</v>
      </c>
      <c r="W168" s="5">
        <v>10479.334500000001</v>
      </c>
      <c r="X168" s="5">
        <v>14474.132799999999</v>
      </c>
      <c r="Y168" s="5">
        <v>7000.6481999999996</v>
      </c>
      <c r="Z168" s="5">
        <v>11158.274100000001</v>
      </c>
      <c r="AA168" s="5">
        <v>4208.7700000000004</v>
      </c>
      <c r="AB168" s="5">
        <v>38021.24</v>
      </c>
      <c r="AC168" s="5">
        <v>663.79</v>
      </c>
      <c r="AD168" s="5">
        <v>328.452</v>
      </c>
    </row>
    <row r="169" spans="5:30" ht="15">
      <c r="E169" s="9">
        <v>39202</v>
      </c>
      <c r="F169" s="5">
        <v>186.15</v>
      </c>
      <c r="G169" s="5">
        <v>403.9409</v>
      </c>
      <c r="H169" s="5">
        <v>555.2722</v>
      </c>
      <c r="I169" s="5">
        <v>1318.2</v>
      </c>
      <c r="J169" s="5">
        <v>329.78179999999998</v>
      </c>
      <c r="K169" s="5">
        <v>1364.62</v>
      </c>
      <c r="L169" s="5">
        <v>1636.91</v>
      </c>
      <c r="M169" s="5">
        <v>1600.28</v>
      </c>
      <c r="N169" s="5">
        <v>1676.12</v>
      </c>
      <c r="O169" s="5">
        <v>1586.48</v>
      </c>
      <c r="P169" s="5">
        <v>919.09</v>
      </c>
      <c r="Q169" s="5">
        <v>397.1</v>
      </c>
      <c r="R169" s="5">
        <v>1482.37</v>
      </c>
      <c r="S169" s="5">
        <v>1577.86</v>
      </c>
      <c r="T169" s="5">
        <v>391.14</v>
      </c>
      <c r="U169" s="5">
        <v>969.93</v>
      </c>
      <c r="V169" s="5">
        <v>4738.4417999999996</v>
      </c>
      <c r="W169" s="5">
        <v>10687.5715</v>
      </c>
      <c r="X169" s="5">
        <v>14743.0506</v>
      </c>
      <c r="Y169" s="5">
        <v>7099.9912000000004</v>
      </c>
      <c r="Z169" s="5">
        <v>11339.855100000001</v>
      </c>
      <c r="AA169" s="5">
        <v>4215.22</v>
      </c>
      <c r="AB169" s="5">
        <v>38750.75</v>
      </c>
      <c r="AC169" s="5">
        <v>678.45</v>
      </c>
      <c r="AD169" s="5">
        <v>332.24599999999998</v>
      </c>
    </row>
    <row r="170" spans="5:30" ht="15">
      <c r="E170" s="9">
        <v>39233</v>
      </c>
      <c r="F170" s="5">
        <v>186.97</v>
      </c>
      <c r="G170" s="5">
        <v>403.61579999999998</v>
      </c>
      <c r="H170" s="5">
        <v>550.38139999999999</v>
      </c>
      <c r="I170" s="5">
        <v>1308.2</v>
      </c>
      <c r="J170" s="5">
        <v>327.55930000000001</v>
      </c>
      <c r="K170" s="5">
        <v>1356.78</v>
      </c>
      <c r="L170" s="5">
        <v>1620.55</v>
      </c>
      <c r="M170" s="5">
        <v>1583.13</v>
      </c>
      <c r="N170" s="5">
        <v>1661.08</v>
      </c>
      <c r="O170" s="5">
        <v>1569.23</v>
      </c>
      <c r="P170" s="5">
        <v>925.96</v>
      </c>
      <c r="Q170" s="5">
        <v>395.57</v>
      </c>
      <c r="R170" s="5">
        <v>1530.62</v>
      </c>
      <c r="S170" s="5">
        <v>1616.87</v>
      </c>
      <c r="T170" s="5">
        <v>401.52</v>
      </c>
      <c r="U170" s="5">
        <v>1014.78</v>
      </c>
      <c r="V170" s="5">
        <v>4840.1540999999997</v>
      </c>
      <c r="W170" s="5">
        <v>10920.018899999999</v>
      </c>
      <c r="X170" s="5">
        <v>15072.9305</v>
      </c>
      <c r="Y170" s="5">
        <v>7205.5923000000003</v>
      </c>
      <c r="Z170" s="5">
        <v>11545.189700000001</v>
      </c>
      <c r="AA170" s="5">
        <v>4220.53</v>
      </c>
      <c r="AB170" s="5">
        <v>39542.720000000001</v>
      </c>
      <c r="AC170" s="5">
        <v>660.5</v>
      </c>
      <c r="AD170" s="5">
        <v>332.67599999999999</v>
      </c>
    </row>
    <row r="171" spans="5:30" ht="15">
      <c r="E171" s="9">
        <v>39262</v>
      </c>
      <c r="F171" s="5">
        <v>187.71</v>
      </c>
      <c r="G171" s="5">
        <v>405.36309999999997</v>
      </c>
      <c r="H171" s="5">
        <v>550.09849999999994</v>
      </c>
      <c r="I171" s="5">
        <v>1304.3399999999999</v>
      </c>
      <c r="J171" s="5">
        <v>326.34230000000002</v>
      </c>
      <c r="K171" s="5">
        <v>1351.08</v>
      </c>
      <c r="L171" s="5">
        <v>1612.62</v>
      </c>
      <c r="M171" s="5">
        <v>1574.88</v>
      </c>
      <c r="N171" s="5">
        <v>1653.68</v>
      </c>
      <c r="O171" s="5">
        <v>1561</v>
      </c>
      <c r="P171" s="5">
        <v>909.33</v>
      </c>
      <c r="Q171" s="5">
        <v>388.1</v>
      </c>
      <c r="R171" s="5">
        <v>1503.35</v>
      </c>
      <c r="S171" s="5">
        <v>1602.36</v>
      </c>
      <c r="T171" s="5">
        <v>399.79</v>
      </c>
      <c r="U171" s="5">
        <v>1059.69</v>
      </c>
      <c r="V171" s="5">
        <v>4865.6067999999996</v>
      </c>
      <c r="W171" s="5">
        <v>10920.406199999999</v>
      </c>
      <c r="X171" s="5">
        <v>15206.788200000001</v>
      </c>
      <c r="Y171" s="5">
        <v>7246.0995000000003</v>
      </c>
      <c r="Z171" s="5">
        <v>11719.118200000001</v>
      </c>
      <c r="AA171" s="5">
        <v>3839.06</v>
      </c>
      <c r="AB171" s="5">
        <v>39268.11</v>
      </c>
      <c r="AC171" s="5">
        <v>649.65</v>
      </c>
      <c r="AD171" s="5">
        <v>328.029</v>
      </c>
    </row>
    <row r="172" spans="5:30" ht="15">
      <c r="E172" s="9">
        <v>39294</v>
      </c>
      <c r="F172" s="5">
        <v>188.44</v>
      </c>
      <c r="G172" s="5">
        <v>408.85160000000002</v>
      </c>
      <c r="H172" s="5">
        <v>559.15210000000002</v>
      </c>
      <c r="I172" s="5">
        <v>1315.22</v>
      </c>
      <c r="J172" s="5">
        <v>329.64440000000002</v>
      </c>
      <c r="K172" s="5">
        <v>1360.23</v>
      </c>
      <c r="L172" s="5">
        <v>1616.35</v>
      </c>
      <c r="M172" s="5">
        <v>1580.21</v>
      </c>
      <c r="N172" s="5">
        <v>1653.68</v>
      </c>
      <c r="O172" s="5">
        <v>1572.01</v>
      </c>
      <c r="P172" s="5">
        <v>877.13</v>
      </c>
      <c r="Q172" s="5">
        <v>384.6</v>
      </c>
      <c r="R172" s="5">
        <v>1455.28</v>
      </c>
      <c r="S172" s="5">
        <v>1565.81</v>
      </c>
      <c r="T172" s="5">
        <v>393.34</v>
      </c>
      <c r="U172" s="5">
        <v>1112.77</v>
      </c>
      <c r="V172" s="5">
        <v>4874.9138999999996</v>
      </c>
      <c r="W172" s="5">
        <v>10824.0555</v>
      </c>
      <c r="X172" s="5">
        <v>15232.2341</v>
      </c>
      <c r="Y172" s="5">
        <v>7204.0439999999999</v>
      </c>
      <c r="Z172" s="5">
        <v>11812.0599</v>
      </c>
      <c r="AA172" s="5">
        <v>3501.7</v>
      </c>
      <c r="AB172" s="5">
        <v>36943.42</v>
      </c>
      <c r="AC172" s="5">
        <v>664.3</v>
      </c>
      <c r="AD172" s="5">
        <v>334.83600000000001</v>
      </c>
    </row>
    <row r="173" spans="5:30" ht="15">
      <c r="E173" s="9">
        <v>39325</v>
      </c>
      <c r="F173" s="5">
        <v>189.51</v>
      </c>
      <c r="G173" s="5">
        <v>413.05799999999999</v>
      </c>
      <c r="H173" s="5">
        <v>567.94029999999998</v>
      </c>
      <c r="I173" s="5">
        <v>1331.34</v>
      </c>
      <c r="J173" s="5">
        <v>333.41860000000003</v>
      </c>
      <c r="K173" s="5">
        <v>1376.24</v>
      </c>
      <c r="L173" s="5">
        <v>1629.43</v>
      </c>
      <c r="M173" s="5">
        <v>1600.3</v>
      </c>
      <c r="N173" s="5">
        <v>1658.63</v>
      </c>
      <c r="O173" s="5">
        <v>1583.9</v>
      </c>
      <c r="P173" s="5">
        <v>889.09</v>
      </c>
      <c r="Q173" s="5">
        <v>389.26</v>
      </c>
      <c r="R173" s="5">
        <v>1473.99</v>
      </c>
      <c r="S173" s="5">
        <v>1561.59</v>
      </c>
      <c r="T173" s="5">
        <v>391.49</v>
      </c>
      <c r="U173" s="5">
        <v>1086.98</v>
      </c>
      <c r="V173" s="5">
        <v>4768.4736000000003</v>
      </c>
      <c r="W173" s="5">
        <v>10640.2219</v>
      </c>
      <c r="X173" s="5">
        <v>14978.2498</v>
      </c>
      <c r="Y173" s="5">
        <v>7154.4701999999997</v>
      </c>
      <c r="Z173" s="5">
        <v>11562.713400000001</v>
      </c>
      <c r="AA173" s="5">
        <v>3692.41</v>
      </c>
      <c r="AB173" s="5">
        <v>36579.550000000003</v>
      </c>
      <c r="AC173" s="5">
        <v>673.39</v>
      </c>
      <c r="AD173" s="5">
        <v>322.678</v>
      </c>
    </row>
    <row r="174" spans="5:30" ht="15">
      <c r="E174" s="9">
        <v>39353</v>
      </c>
      <c r="F174" s="5">
        <v>190.23</v>
      </c>
      <c r="G174" s="5">
        <v>415.97320000000002</v>
      </c>
      <c r="H174" s="5">
        <v>571.00620000000004</v>
      </c>
      <c r="I174" s="5">
        <v>1341.44</v>
      </c>
      <c r="J174" s="5">
        <v>334.89640000000003</v>
      </c>
      <c r="K174" s="5">
        <v>1386.81</v>
      </c>
      <c r="L174" s="5">
        <v>1641.98</v>
      </c>
      <c r="M174" s="5">
        <v>1611.76</v>
      </c>
      <c r="N174" s="5">
        <v>1675.23</v>
      </c>
      <c r="O174" s="5">
        <v>1584.61</v>
      </c>
      <c r="P174" s="5">
        <v>912.36</v>
      </c>
      <c r="Q174" s="5">
        <v>398.1</v>
      </c>
      <c r="R174" s="5">
        <v>1526.75</v>
      </c>
      <c r="S174" s="5">
        <v>1633.58</v>
      </c>
      <c r="T174" s="5">
        <v>411.92</v>
      </c>
      <c r="U174" s="5">
        <v>1204.9000000000001</v>
      </c>
      <c r="V174" s="5">
        <v>4858.0734000000002</v>
      </c>
      <c r="W174" s="5">
        <v>10804.917600000001</v>
      </c>
      <c r="X174" s="5">
        <v>15454.0136</v>
      </c>
      <c r="Y174" s="5">
        <v>7251.0686999999998</v>
      </c>
      <c r="Z174" s="5">
        <v>11936.1005</v>
      </c>
      <c r="AA174" s="5">
        <v>3850.88</v>
      </c>
      <c r="AB174" s="5">
        <v>37386.730000000003</v>
      </c>
      <c r="AC174" s="5">
        <v>743.6</v>
      </c>
      <c r="AD174" s="5">
        <v>348.50700000000001</v>
      </c>
    </row>
    <row r="175" spans="5:30" ht="15">
      <c r="E175" s="9">
        <v>39386</v>
      </c>
      <c r="F175" s="5">
        <v>190.83</v>
      </c>
      <c r="G175" s="5">
        <v>417.67720000000003</v>
      </c>
      <c r="H175" s="5">
        <v>575.67600000000004</v>
      </c>
      <c r="I175" s="5">
        <v>1353.49</v>
      </c>
      <c r="J175" s="5">
        <v>337.71429999999998</v>
      </c>
      <c r="K175" s="5">
        <v>1400.82</v>
      </c>
      <c r="L175" s="5">
        <v>1661.7</v>
      </c>
      <c r="M175" s="5">
        <v>1635.96</v>
      </c>
      <c r="N175" s="5">
        <v>1687.62</v>
      </c>
      <c r="O175" s="5">
        <v>1612.64</v>
      </c>
      <c r="P175" s="5">
        <v>917.83</v>
      </c>
      <c r="Q175" s="5">
        <v>407.59</v>
      </c>
      <c r="R175" s="5">
        <v>1549.38</v>
      </c>
      <c r="S175" s="5">
        <v>1682.35</v>
      </c>
      <c r="T175" s="5">
        <v>427.63</v>
      </c>
      <c r="U175" s="5">
        <v>1337.45</v>
      </c>
      <c r="V175" s="5">
        <v>5007.0033000000003</v>
      </c>
      <c r="W175" s="5">
        <v>11049.000400000001</v>
      </c>
      <c r="X175" s="5">
        <v>15931.9818</v>
      </c>
      <c r="Y175" s="5">
        <v>7403.3595999999998</v>
      </c>
      <c r="Z175" s="5">
        <v>12324.934600000001</v>
      </c>
      <c r="AA175" s="5">
        <v>3882.25</v>
      </c>
      <c r="AB175" s="5">
        <v>37864.17</v>
      </c>
      <c r="AC175" s="5">
        <v>796.6</v>
      </c>
      <c r="AD175" s="5">
        <v>360.125</v>
      </c>
    </row>
    <row r="176" spans="5:30" ht="15">
      <c r="E176" s="9">
        <v>39416</v>
      </c>
      <c r="F176" s="5">
        <v>191.72</v>
      </c>
      <c r="G176" s="5">
        <v>424.74560000000002</v>
      </c>
      <c r="H176" s="5">
        <v>593.18550000000005</v>
      </c>
      <c r="I176" s="5">
        <v>1377.83</v>
      </c>
      <c r="J176" s="5">
        <v>341.50720000000001</v>
      </c>
      <c r="K176" s="5">
        <v>1425.24</v>
      </c>
      <c r="L176" s="5">
        <v>1671.65</v>
      </c>
      <c r="M176" s="5">
        <v>1650.86</v>
      </c>
      <c r="N176" s="5">
        <v>1690.8</v>
      </c>
      <c r="O176" s="5">
        <v>1626.84</v>
      </c>
      <c r="P176" s="5">
        <v>897.92</v>
      </c>
      <c r="Q176" s="5">
        <v>406.08</v>
      </c>
      <c r="R176" s="5">
        <v>1481.14</v>
      </c>
      <c r="S176" s="5">
        <v>1610.94</v>
      </c>
      <c r="T176" s="5">
        <v>408.1</v>
      </c>
      <c r="U176" s="5">
        <v>1242.06</v>
      </c>
      <c r="V176" s="5">
        <v>4933.5219999999999</v>
      </c>
      <c r="W176" s="5">
        <v>10770.1811</v>
      </c>
      <c r="X176" s="5">
        <v>15471.509</v>
      </c>
      <c r="Y176" s="5">
        <v>7363.9742999999999</v>
      </c>
      <c r="Z176" s="5">
        <v>12214.9478</v>
      </c>
      <c r="AA176" s="5">
        <v>3545.57</v>
      </c>
      <c r="AB176" s="5">
        <v>34473.599999999999</v>
      </c>
      <c r="AC176" s="5">
        <v>783.75</v>
      </c>
      <c r="AD176" s="5">
        <v>348.83100000000002</v>
      </c>
    </row>
    <row r="177" spans="5:30" ht="15">
      <c r="E177" s="9">
        <v>39447</v>
      </c>
      <c r="F177" s="5">
        <v>192.23</v>
      </c>
      <c r="G177" s="5">
        <v>425.73590000000002</v>
      </c>
      <c r="H177" s="5">
        <v>593.6626</v>
      </c>
      <c r="I177" s="5">
        <v>1381.7</v>
      </c>
      <c r="J177" s="5">
        <v>342.2525</v>
      </c>
      <c r="K177" s="5">
        <v>1429.28</v>
      </c>
      <c r="L177" s="5">
        <v>1674.29</v>
      </c>
      <c r="M177" s="5">
        <v>1654.84</v>
      </c>
      <c r="N177" s="5">
        <v>1692.36</v>
      </c>
      <c r="O177" s="5">
        <v>1627.54</v>
      </c>
      <c r="P177" s="5">
        <v>900.54</v>
      </c>
      <c r="Q177" s="5">
        <v>408.61</v>
      </c>
      <c r="R177" s="5">
        <v>1468.36</v>
      </c>
      <c r="S177" s="5">
        <v>1588.8</v>
      </c>
      <c r="T177" s="5">
        <v>403.25</v>
      </c>
      <c r="U177" s="5">
        <v>1245.5899999999999</v>
      </c>
      <c r="V177" s="5">
        <v>4949.9897000000001</v>
      </c>
      <c r="W177" s="5">
        <v>10741.299300000001</v>
      </c>
      <c r="X177" s="5">
        <v>15553.219499999999</v>
      </c>
      <c r="Y177" s="5">
        <v>7411.3723</v>
      </c>
      <c r="Z177" s="5">
        <v>12335.221</v>
      </c>
      <c r="AA177" s="5">
        <v>3386.3</v>
      </c>
      <c r="AB177" s="5">
        <v>34234.92</v>
      </c>
      <c r="AC177" s="5">
        <v>833.92</v>
      </c>
      <c r="AD177" s="5">
        <v>364.99</v>
      </c>
    </row>
    <row r="178" spans="5:30" ht="15">
      <c r="E178" s="9">
        <v>39478</v>
      </c>
      <c r="F178" s="5">
        <v>193.21</v>
      </c>
      <c r="G178" s="5">
        <v>433.19670000000002</v>
      </c>
      <c r="H178" s="5">
        <v>608.78790000000004</v>
      </c>
      <c r="I178" s="5">
        <v>1404.91</v>
      </c>
      <c r="J178" s="5">
        <v>347.90260000000001</v>
      </c>
      <c r="K178" s="5">
        <v>1455.66</v>
      </c>
      <c r="L178" s="5">
        <v>1691.33</v>
      </c>
      <c r="M178" s="5">
        <v>1666.91</v>
      </c>
      <c r="N178" s="5">
        <v>1713.52</v>
      </c>
      <c r="O178" s="5">
        <v>1649.78</v>
      </c>
      <c r="P178" s="5">
        <v>888.52</v>
      </c>
      <c r="Q178" s="5">
        <v>412.06</v>
      </c>
      <c r="R178" s="5">
        <v>1378.55</v>
      </c>
      <c r="S178" s="5">
        <v>1466.35</v>
      </c>
      <c r="T178" s="5">
        <v>369.93</v>
      </c>
      <c r="U178" s="5">
        <v>1088.72</v>
      </c>
      <c r="V178" s="5">
        <v>4809.6953999999996</v>
      </c>
      <c r="W178" s="5">
        <v>10469.731100000001</v>
      </c>
      <c r="X178" s="5">
        <v>14857.382900000001</v>
      </c>
      <c r="Y178" s="5">
        <v>7315.6226999999999</v>
      </c>
      <c r="Z178" s="5">
        <v>12468.7682</v>
      </c>
      <c r="AA178" s="5">
        <v>3371.76</v>
      </c>
      <c r="AB178" s="5">
        <v>31663.8</v>
      </c>
      <c r="AC178" s="5">
        <v>925.99</v>
      </c>
      <c r="AD178" s="5">
        <v>380.40600000000001</v>
      </c>
    </row>
    <row r="179" spans="5:30" ht="15">
      <c r="E179" s="9">
        <v>39507</v>
      </c>
      <c r="F179" s="5">
        <v>193.54</v>
      </c>
      <c r="G179" s="5">
        <v>437.4545</v>
      </c>
      <c r="H179" s="5">
        <v>615.60860000000002</v>
      </c>
      <c r="I179" s="5">
        <v>1406.86</v>
      </c>
      <c r="J179" s="5">
        <v>348.91500000000002</v>
      </c>
      <c r="K179" s="5">
        <v>1455.9</v>
      </c>
      <c r="L179" s="5">
        <v>1693.21</v>
      </c>
      <c r="M179" s="5">
        <v>1668.13</v>
      </c>
      <c r="N179" s="5">
        <v>1715.72</v>
      </c>
      <c r="O179" s="5">
        <v>1653.37</v>
      </c>
      <c r="P179" s="5">
        <v>876.4</v>
      </c>
      <c r="Q179" s="5">
        <v>411.37</v>
      </c>
      <c r="R179" s="5">
        <v>1330.63</v>
      </c>
      <c r="S179" s="5">
        <v>1455.56</v>
      </c>
      <c r="T179" s="5">
        <v>370.41</v>
      </c>
      <c r="U179" s="5">
        <v>1167.6600000000001</v>
      </c>
      <c r="V179" s="5">
        <v>4869.3687</v>
      </c>
      <c r="W179" s="5">
        <v>10512.4257</v>
      </c>
      <c r="X179" s="5">
        <v>15051.8652</v>
      </c>
      <c r="Y179" s="5">
        <v>7308.8746000000001</v>
      </c>
      <c r="Z179" s="5">
        <v>12994.856299999999</v>
      </c>
      <c r="AA179" s="5">
        <v>3242.42</v>
      </c>
      <c r="AB179" s="5">
        <v>30736.26</v>
      </c>
      <c r="AC179" s="5">
        <v>974.16</v>
      </c>
      <c r="AD179" s="5">
        <v>427.13499999999999</v>
      </c>
    </row>
    <row r="180" spans="5:30" ht="15">
      <c r="E180" s="9">
        <v>39538</v>
      </c>
      <c r="F180" s="5">
        <v>194.02</v>
      </c>
      <c r="G180" s="5">
        <v>438.69670000000002</v>
      </c>
      <c r="H180" s="5">
        <v>619.95150000000001</v>
      </c>
      <c r="I180" s="5">
        <v>1411.66</v>
      </c>
      <c r="J180" s="5">
        <v>348.70350000000002</v>
      </c>
      <c r="K180" s="5">
        <v>1464.08</v>
      </c>
      <c r="L180" s="5">
        <v>1671.7</v>
      </c>
      <c r="M180" s="5">
        <v>1654.78</v>
      </c>
      <c r="N180" s="5">
        <v>1683.38</v>
      </c>
      <c r="O180" s="5">
        <v>1640.02</v>
      </c>
      <c r="P180" s="5">
        <v>873.38</v>
      </c>
      <c r="Q180" s="5">
        <v>411.2</v>
      </c>
      <c r="R180" s="5">
        <v>1322.7</v>
      </c>
      <c r="S180" s="5">
        <v>1437.4</v>
      </c>
      <c r="T180" s="5">
        <v>363.99</v>
      </c>
      <c r="U180" s="5">
        <v>1104.58</v>
      </c>
      <c r="V180" s="5">
        <v>4743.0767999999998</v>
      </c>
      <c r="W180" s="5">
        <v>10363.844800000001</v>
      </c>
      <c r="X180" s="5">
        <v>14623.984700000001</v>
      </c>
      <c r="Y180" s="5">
        <v>7163.2137000000002</v>
      </c>
      <c r="Z180" s="5">
        <v>12836.166800000001</v>
      </c>
      <c r="AA180" s="5">
        <v>3366.68</v>
      </c>
      <c r="AB180" s="5">
        <v>29947.59</v>
      </c>
      <c r="AC180" s="5">
        <v>916.88</v>
      </c>
      <c r="AD180" s="5">
        <v>400.04599999999999</v>
      </c>
    </row>
    <row r="181" spans="5:30" ht="15">
      <c r="E181" s="9">
        <v>39568</v>
      </c>
      <c r="F181" s="5">
        <v>194.24</v>
      </c>
      <c r="G181" s="5">
        <v>434.90929999999997</v>
      </c>
      <c r="H181" s="5">
        <v>609.27869999999996</v>
      </c>
      <c r="I181" s="5">
        <v>1408.71</v>
      </c>
      <c r="J181" s="5">
        <v>346.80990000000003</v>
      </c>
      <c r="K181" s="5">
        <v>1465.48</v>
      </c>
      <c r="L181" s="5">
        <v>1686.99</v>
      </c>
      <c r="M181" s="5">
        <v>1667.51</v>
      </c>
      <c r="N181" s="5">
        <v>1705.21</v>
      </c>
      <c r="O181" s="5">
        <v>1639.71</v>
      </c>
      <c r="P181" s="5">
        <v>911.02</v>
      </c>
      <c r="Q181" s="5">
        <v>415.36</v>
      </c>
      <c r="R181" s="5">
        <v>1385.59</v>
      </c>
      <c r="S181" s="5">
        <v>1508.99</v>
      </c>
      <c r="T181" s="5">
        <v>383.3</v>
      </c>
      <c r="U181" s="5">
        <v>1191.53</v>
      </c>
      <c r="V181" s="5">
        <v>4789.2618000000002</v>
      </c>
      <c r="W181" s="5">
        <v>10467.489</v>
      </c>
      <c r="X181" s="5">
        <v>14981.5915</v>
      </c>
      <c r="Y181" s="5">
        <v>7262.4670999999998</v>
      </c>
      <c r="Z181" s="5">
        <v>12831.954900000001</v>
      </c>
      <c r="AA181" s="5">
        <v>3574.89</v>
      </c>
      <c r="AB181" s="5">
        <v>30370.06</v>
      </c>
      <c r="AC181" s="5">
        <v>877.55</v>
      </c>
      <c r="AD181" s="5">
        <v>414.30200000000002</v>
      </c>
    </row>
    <row r="182" spans="5:30" ht="15">
      <c r="E182" s="9">
        <v>39598</v>
      </c>
      <c r="F182" s="5">
        <v>194.31</v>
      </c>
      <c r="G182" s="5">
        <v>433.34100000000001</v>
      </c>
      <c r="H182" s="5">
        <v>601.91610000000003</v>
      </c>
      <c r="I182" s="5">
        <v>1398.38</v>
      </c>
      <c r="J182" s="5">
        <v>343.61950000000002</v>
      </c>
      <c r="K182" s="5">
        <v>1457.71</v>
      </c>
      <c r="L182" s="5">
        <v>1670.89</v>
      </c>
      <c r="M182" s="5">
        <v>1651.68</v>
      </c>
      <c r="N182" s="5">
        <v>1688.97</v>
      </c>
      <c r="O182" s="5">
        <v>1623.52</v>
      </c>
      <c r="P182" s="5">
        <v>914.31</v>
      </c>
      <c r="Q182" s="5">
        <v>415.87</v>
      </c>
      <c r="R182" s="5">
        <v>1400.38</v>
      </c>
      <c r="S182" s="5">
        <v>1525.73</v>
      </c>
      <c r="T182" s="5">
        <v>387.75</v>
      </c>
      <c r="U182" s="5">
        <v>1210.04</v>
      </c>
      <c r="V182" s="5">
        <v>4877.6824999999999</v>
      </c>
      <c r="W182" s="5">
        <v>10626.431</v>
      </c>
      <c r="X182" s="5">
        <v>15338.4403</v>
      </c>
      <c r="Y182" s="5">
        <v>7354.8155999999999</v>
      </c>
      <c r="Z182" s="5">
        <v>12986.5229</v>
      </c>
      <c r="AA182" s="5">
        <v>3605.5</v>
      </c>
      <c r="AB182" s="5">
        <v>31525.69</v>
      </c>
      <c r="AC182" s="5">
        <v>886.5</v>
      </c>
      <c r="AD182" s="5">
        <v>425.62900000000002</v>
      </c>
    </row>
    <row r="183" spans="5:30" ht="15">
      <c r="E183" s="9">
        <v>39629</v>
      </c>
      <c r="F183" s="5">
        <v>194.65</v>
      </c>
      <c r="G183" s="5">
        <v>434.68639999999999</v>
      </c>
      <c r="H183" s="5">
        <v>606.8854</v>
      </c>
      <c r="I183" s="5">
        <v>1397.25</v>
      </c>
      <c r="J183" s="5">
        <v>342.52870000000001</v>
      </c>
      <c r="K183" s="5">
        <v>1456.88</v>
      </c>
      <c r="L183" s="5">
        <v>1660.2</v>
      </c>
      <c r="M183" s="5">
        <v>1649.8</v>
      </c>
      <c r="N183" s="5">
        <v>1664.46</v>
      </c>
      <c r="O183" s="5">
        <v>1631.11</v>
      </c>
      <c r="P183" s="5">
        <v>888.75</v>
      </c>
      <c r="Q183" s="5">
        <v>407.86</v>
      </c>
      <c r="R183" s="5">
        <v>1280</v>
      </c>
      <c r="S183" s="5">
        <v>1402.13</v>
      </c>
      <c r="T183" s="5">
        <v>355.4</v>
      </c>
      <c r="U183" s="5">
        <v>1087.1199999999999</v>
      </c>
      <c r="V183" s="5">
        <v>4838.2642999999998</v>
      </c>
      <c r="W183" s="5">
        <v>10456.5177</v>
      </c>
      <c r="X183" s="5">
        <v>14964.233899999999</v>
      </c>
      <c r="Y183" s="5">
        <v>7308.6256000000003</v>
      </c>
      <c r="Z183" s="5">
        <v>13141.3627</v>
      </c>
      <c r="AA183" s="5">
        <v>3198.01</v>
      </c>
      <c r="AB183" s="5">
        <v>29200.6</v>
      </c>
      <c r="AC183" s="5">
        <v>925.4</v>
      </c>
      <c r="AD183" s="5">
        <v>464.35700000000003</v>
      </c>
    </row>
    <row r="184" spans="5:30" ht="15">
      <c r="E184" s="9">
        <v>39660</v>
      </c>
      <c r="F184" s="5">
        <v>195.06</v>
      </c>
      <c r="G184" s="5">
        <v>436.45209999999997</v>
      </c>
      <c r="H184" s="5">
        <v>609.44000000000005</v>
      </c>
      <c r="I184" s="5">
        <v>1396.11</v>
      </c>
      <c r="J184" s="5">
        <v>345.06790000000001</v>
      </c>
      <c r="K184" s="5">
        <v>1454.85</v>
      </c>
      <c r="L184" s="5">
        <v>1647.79</v>
      </c>
      <c r="M184" s="5">
        <v>1645.44</v>
      </c>
      <c r="N184" s="5">
        <v>1641.13</v>
      </c>
      <c r="O184" s="5">
        <v>1627.56</v>
      </c>
      <c r="P184" s="5">
        <v>876.91</v>
      </c>
      <c r="Q184" s="5">
        <v>412.4</v>
      </c>
      <c r="R184" s="5">
        <v>1267.3800000000001</v>
      </c>
      <c r="S184" s="5">
        <v>1366.7</v>
      </c>
      <c r="T184" s="5">
        <v>345.75</v>
      </c>
      <c r="U184" s="5">
        <v>1041.8599999999999</v>
      </c>
      <c r="V184" s="5">
        <v>4711.8746000000001</v>
      </c>
      <c r="W184" s="5">
        <v>10306.819</v>
      </c>
      <c r="X184" s="5">
        <v>14538.5692</v>
      </c>
      <c r="Y184" s="5">
        <v>7249.0531000000001</v>
      </c>
      <c r="Z184" s="5">
        <v>12796.566800000001</v>
      </c>
      <c r="AA184" s="5">
        <v>3288.95</v>
      </c>
      <c r="AB184" s="5">
        <v>29676.51</v>
      </c>
      <c r="AC184" s="5">
        <v>914.07</v>
      </c>
      <c r="AD184" s="5">
        <v>409.31099999999998</v>
      </c>
    </row>
    <row r="185" spans="5:30" ht="15">
      <c r="E185" s="9">
        <v>39689</v>
      </c>
      <c r="F185" s="5">
        <v>195.37</v>
      </c>
      <c r="G185" s="5">
        <v>438.40750000000003</v>
      </c>
      <c r="H185" s="5">
        <v>617.01829999999995</v>
      </c>
      <c r="I185" s="5">
        <v>1409.36</v>
      </c>
      <c r="J185" s="5">
        <v>348.50069999999999</v>
      </c>
      <c r="K185" s="5">
        <v>1473.05</v>
      </c>
      <c r="L185" s="5">
        <v>1659.64</v>
      </c>
      <c r="M185" s="5">
        <v>1660.82</v>
      </c>
      <c r="N185" s="5">
        <v>1646.64</v>
      </c>
      <c r="O185" s="5">
        <v>1648.62</v>
      </c>
      <c r="P185" s="5">
        <v>879.98</v>
      </c>
      <c r="Q185" s="5">
        <v>415.73</v>
      </c>
      <c r="R185" s="5">
        <v>1282.83</v>
      </c>
      <c r="S185" s="5">
        <v>1344.87</v>
      </c>
      <c r="T185" s="5">
        <v>337.61</v>
      </c>
      <c r="U185" s="5">
        <v>956.25</v>
      </c>
      <c r="V185" s="5">
        <v>4646.3900000000003</v>
      </c>
      <c r="W185" s="5">
        <v>10254.813899999999</v>
      </c>
      <c r="X185" s="5">
        <v>14222.4488</v>
      </c>
      <c r="Y185" s="5">
        <v>7238.6135999999997</v>
      </c>
      <c r="Z185" s="5">
        <v>12645.730799999999</v>
      </c>
      <c r="AA185" s="5">
        <v>3350.69</v>
      </c>
      <c r="AB185" s="5">
        <v>30200.19</v>
      </c>
      <c r="AC185" s="5">
        <v>831.15</v>
      </c>
      <c r="AD185" s="5">
        <v>379.49599999999998</v>
      </c>
    </row>
    <row r="186" spans="5:30" ht="15">
      <c r="E186" s="9">
        <v>39721</v>
      </c>
      <c r="F186" s="5">
        <v>195.93</v>
      </c>
      <c r="G186" s="5">
        <v>442.1191</v>
      </c>
      <c r="H186" s="5">
        <v>621.14959999999996</v>
      </c>
      <c r="I186" s="5">
        <v>1390.43</v>
      </c>
      <c r="J186" s="5">
        <v>345.34500000000003</v>
      </c>
      <c r="K186" s="5">
        <v>1484.13</v>
      </c>
      <c r="L186" s="5">
        <v>1530.7</v>
      </c>
      <c r="M186" s="5">
        <v>1596.81</v>
      </c>
      <c r="N186" s="5">
        <v>1434.9</v>
      </c>
      <c r="O186" s="5">
        <v>1569.22</v>
      </c>
      <c r="P186" s="5">
        <v>809.78</v>
      </c>
      <c r="Q186" s="5">
        <v>387.28</v>
      </c>
      <c r="R186" s="5">
        <v>1166.3599999999999</v>
      </c>
      <c r="S186" s="5">
        <v>1182.44</v>
      </c>
      <c r="T186" s="5">
        <v>294.79000000000002</v>
      </c>
      <c r="U186" s="5">
        <v>786.92</v>
      </c>
      <c r="V186" s="5">
        <v>4343.0015000000003</v>
      </c>
      <c r="W186" s="5">
        <v>9638.8737999999994</v>
      </c>
      <c r="X186" s="5">
        <v>13064.6875</v>
      </c>
      <c r="Y186" s="5">
        <v>6811.6742000000004</v>
      </c>
      <c r="Z186" s="5">
        <v>12492.1569</v>
      </c>
      <c r="AA186" s="5">
        <v>3333.52</v>
      </c>
      <c r="AB186" s="5">
        <v>27099.18</v>
      </c>
      <c r="AC186" s="5">
        <v>870.95</v>
      </c>
      <c r="AD186" s="5">
        <v>335.74799999999999</v>
      </c>
    </row>
    <row r="187" spans="5:30" ht="15">
      <c r="E187" s="9">
        <v>39752</v>
      </c>
      <c r="F187" s="5">
        <v>196.42</v>
      </c>
      <c r="G187" s="5">
        <v>446.01159999999999</v>
      </c>
      <c r="H187" s="5">
        <v>620.23620000000005</v>
      </c>
      <c r="I187" s="5">
        <v>1357.61</v>
      </c>
      <c r="J187" s="5">
        <v>343.07830000000001</v>
      </c>
      <c r="K187" s="5">
        <v>1465.48</v>
      </c>
      <c r="L187" s="5">
        <v>1432.06</v>
      </c>
      <c r="M187" s="5">
        <v>1452.56</v>
      </c>
      <c r="N187" s="5">
        <v>1403.92</v>
      </c>
      <c r="O187" s="5">
        <v>1407.38</v>
      </c>
      <c r="P187" s="5">
        <v>680.97</v>
      </c>
      <c r="Q187" s="5">
        <v>329.61</v>
      </c>
      <c r="R187" s="5">
        <v>968.75</v>
      </c>
      <c r="S187" s="5">
        <v>957.25</v>
      </c>
      <c r="T187" s="5">
        <v>236.11</v>
      </c>
      <c r="U187" s="5">
        <v>570.52</v>
      </c>
      <c r="V187" s="5">
        <v>4094.598</v>
      </c>
      <c r="W187" s="5">
        <v>8849.3583999999992</v>
      </c>
      <c r="X187" s="5">
        <v>11828.9835</v>
      </c>
      <c r="Y187" s="5">
        <v>6264.6167999999998</v>
      </c>
      <c r="Z187" s="5">
        <v>12695.992899999999</v>
      </c>
      <c r="AA187" s="5">
        <v>2315.4699999999998</v>
      </c>
      <c r="AB187" s="5">
        <v>21431.33</v>
      </c>
      <c r="AC187" s="5">
        <v>724.55</v>
      </c>
      <c r="AD187" s="5">
        <v>264.29000000000002</v>
      </c>
    </row>
    <row r="188" spans="5:30" ht="15">
      <c r="E188" s="9">
        <v>39780</v>
      </c>
      <c r="F188" s="5">
        <v>196.72</v>
      </c>
      <c r="G188" s="5">
        <v>451.34500000000003</v>
      </c>
      <c r="H188" s="5">
        <v>653.77099999999996</v>
      </c>
      <c r="I188" s="5">
        <v>1401.8</v>
      </c>
      <c r="J188" s="5">
        <v>352.3845</v>
      </c>
      <c r="K188" s="5">
        <v>1523.05</v>
      </c>
      <c r="L188" s="5">
        <v>1490.33</v>
      </c>
      <c r="M188" s="5">
        <v>1511.38</v>
      </c>
      <c r="N188" s="5">
        <v>1457.02</v>
      </c>
      <c r="O188" s="5">
        <v>1481.3</v>
      </c>
      <c r="P188" s="5">
        <v>617.54999999999995</v>
      </c>
      <c r="Q188" s="5">
        <v>337.78</v>
      </c>
      <c r="R188" s="5">
        <v>896.24</v>
      </c>
      <c r="S188" s="5">
        <v>892.93</v>
      </c>
      <c r="T188" s="5">
        <v>220.05</v>
      </c>
      <c r="U188" s="5">
        <v>526.97</v>
      </c>
      <c r="V188" s="5">
        <v>3986.4061000000002</v>
      </c>
      <c r="W188" s="5">
        <v>8525.7687999999998</v>
      </c>
      <c r="X188" s="5">
        <v>11382.833699999999</v>
      </c>
      <c r="Y188" s="5">
        <v>6089.0546000000004</v>
      </c>
      <c r="Z188" s="5">
        <v>12789.034900000001</v>
      </c>
      <c r="AA188" s="5">
        <v>1814.81</v>
      </c>
      <c r="AB188" s="5">
        <v>18482.439999999999</v>
      </c>
      <c r="AC188" s="5">
        <v>818.05</v>
      </c>
      <c r="AD188" s="5">
        <v>245.9</v>
      </c>
    </row>
    <row r="189" spans="5:30" ht="15">
      <c r="E189" s="9">
        <v>39813</v>
      </c>
      <c r="F189" s="5">
        <v>196.92</v>
      </c>
      <c r="G189" s="5">
        <v>453.7885</v>
      </c>
      <c r="H189" s="5">
        <v>676.12249999999995</v>
      </c>
      <c r="I189" s="5">
        <v>1454.1</v>
      </c>
      <c r="J189" s="5">
        <v>361.34539999999998</v>
      </c>
      <c r="K189" s="5">
        <v>1548.48</v>
      </c>
      <c r="L189" s="5">
        <v>1591.62</v>
      </c>
      <c r="M189" s="5">
        <v>1622</v>
      </c>
      <c r="N189" s="5">
        <v>1550.7</v>
      </c>
      <c r="O189" s="5">
        <v>1567.7</v>
      </c>
      <c r="P189" s="5">
        <v>665</v>
      </c>
      <c r="Q189" s="5">
        <v>364.02</v>
      </c>
      <c r="R189" s="5">
        <v>903.25</v>
      </c>
      <c r="S189" s="5">
        <v>920.23</v>
      </c>
      <c r="T189" s="5">
        <v>227.68</v>
      </c>
      <c r="U189" s="5">
        <v>567.04</v>
      </c>
      <c r="V189" s="5">
        <v>3917.8764999999999</v>
      </c>
      <c r="W189" s="5">
        <v>8397.9809000000005</v>
      </c>
      <c r="X189" s="5">
        <v>11407.808199999999</v>
      </c>
      <c r="Y189" s="5">
        <v>6074.6893</v>
      </c>
      <c r="Z189" s="5">
        <v>12931.3459</v>
      </c>
      <c r="AA189" s="5">
        <v>2104.9299999999998</v>
      </c>
      <c r="AB189" s="5">
        <v>18836.88</v>
      </c>
      <c r="AC189" s="5">
        <v>882.05</v>
      </c>
      <c r="AD189" s="5">
        <v>234.874</v>
      </c>
    </row>
    <row r="190" spans="5:30" ht="15">
      <c r="E190" s="9">
        <v>39843</v>
      </c>
      <c r="F190" s="5">
        <v>196.88</v>
      </c>
      <c r="G190" s="5">
        <v>452.20370000000003</v>
      </c>
      <c r="H190" s="5">
        <v>655.48789999999997</v>
      </c>
      <c r="I190" s="5">
        <v>1441.27</v>
      </c>
      <c r="J190" s="5">
        <v>358.23950000000002</v>
      </c>
      <c r="K190" s="5">
        <v>1551.41</v>
      </c>
      <c r="L190" s="5">
        <v>1598.84</v>
      </c>
      <c r="M190" s="5">
        <v>1645.22</v>
      </c>
      <c r="N190" s="5">
        <v>1529.31</v>
      </c>
      <c r="O190" s="5">
        <v>1608.05</v>
      </c>
      <c r="P190" s="5">
        <v>704.86</v>
      </c>
      <c r="Q190" s="5">
        <v>367.12</v>
      </c>
      <c r="R190" s="5">
        <v>825.88</v>
      </c>
      <c r="S190" s="5">
        <v>838.83</v>
      </c>
      <c r="T190" s="5">
        <v>208.02</v>
      </c>
      <c r="U190" s="5">
        <v>529.53</v>
      </c>
      <c r="V190" s="5">
        <v>3961.5066000000002</v>
      </c>
      <c r="W190" s="5">
        <v>8429.0174999999999</v>
      </c>
      <c r="X190" s="5">
        <v>11307.2865</v>
      </c>
      <c r="Y190" s="5">
        <v>6199.5060999999996</v>
      </c>
      <c r="Z190" s="5">
        <v>12918.482099999999</v>
      </c>
      <c r="AA190" s="5">
        <v>1759.48</v>
      </c>
      <c r="AB190" s="5">
        <v>17497.28</v>
      </c>
      <c r="AC190" s="5">
        <v>927.85</v>
      </c>
      <c r="AD190" s="5">
        <v>222.249</v>
      </c>
    </row>
    <row r="191" spans="5:30" ht="15">
      <c r="E191" s="9">
        <v>39871</v>
      </c>
      <c r="F191" s="5">
        <v>196.88</v>
      </c>
      <c r="G191" s="5">
        <v>451.61380000000003</v>
      </c>
      <c r="H191" s="5">
        <v>651.95669999999996</v>
      </c>
      <c r="I191" s="5">
        <v>1435.83</v>
      </c>
      <c r="J191" s="5">
        <v>358.19479999999999</v>
      </c>
      <c r="K191" s="5">
        <v>1560.35</v>
      </c>
      <c r="L191" s="5">
        <v>1567.38</v>
      </c>
      <c r="M191" s="5">
        <v>1629.11</v>
      </c>
      <c r="N191" s="5">
        <v>1465.38</v>
      </c>
      <c r="O191" s="5">
        <v>1623.09</v>
      </c>
      <c r="P191" s="5">
        <v>682.99</v>
      </c>
      <c r="Q191" s="5">
        <v>362.74</v>
      </c>
      <c r="R191" s="5">
        <v>735.09</v>
      </c>
      <c r="S191" s="5">
        <v>750.86</v>
      </c>
      <c r="T191" s="5">
        <v>187.17</v>
      </c>
      <c r="U191" s="5">
        <v>499.3</v>
      </c>
      <c r="V191" s="5">
        <v>3953.1615000000002</v>
      </c>
      <c r="W191" s="5">
        <v>8310.0013999999992</v>
      </c>
      <c r="X191" s="5">
        <v>11058.0779</v>
      </c>
      <c r="Y191" s="5">
        <v>6231.6410999999998</v>
      </c>
      <c r="Z191" s="5">
        <v>12902.6587</v>
      </c>
      <c r="AA191" s="5">
        <v>1414.86</v>
      </c>
      <c r="AB191" s="5">
        <v>15330.1</v>
      </c>
      <c r="AC191" s="5">
        <v>942.35</v>
      </c>
      <c r="AD191" s="5">
        <v>212.39599999999999</v>
      </c>
    </row>
    <row r="192" spans="5:30" ht="15">
      <c r="E192" s="9">
        <v>39903</v>
      </c>
      <c r="F192" s="5">
        <v>197</v>
      </c>
      <c r="G192" s="5">
        <v>454.11849999999998</v>
      </c>
      <c r="H192" s="5">
        <v>666.43370000000004</v>
      </c>
      <c r="I192" s="5">
        <v>1455.79</v>
      </c>
      <c r="J192" s="5">
        <v>361.32709999999997</v>
      </c>
      <c r="K192" s="5">
        <v>1582.47</v>
      </c>
      <c r="L192" s="5">
        <v>1560.91</v>
      </c>
      <c r="M192" s="5">
        <v>1643.06</v>
      </c>
      <c r="N192" s="5">
        <v>1429.49</v>
      </c>
      <c r="O192" s="5">
        <v>1625.39</v>
      </c>
      <c r="P192" s="5">
        <v>704.77</v>
      </c>
      <c r="Q192" s="5">
        <v>376.3</v>
      </c>
      <c r="R192" s="5">
        <v>797.87</v>
      </c>
      <c r="S192" s="5">
        <v>805.22</v>
      </c>
      <c r="T192" s="5">
        <v>202.04</v>
      </c>
      <c r="U192" s="5">
        <v>569.97</v>
      </c>
      <c r="V192" s="5">
        <v>3954.5387999999998</v>
      </c>
      <c r="W192" s="5">
        <v>8416.0972999999994</v>
      </c>
      <c r="X192" s="5">
        <v>11378.7588</v>
      </c>
      <c r="Y192" s="5">
        <v>6293.6898000000001</v>
      </c>
      <c r="Z192" s="5">
        <v>12823.365</v>
      </c>
      <c r="AA192" s="5">
        <v>1476.26</v>
      </c>
      <c r="AB192" s="5">
        <v>16942.05</v>
      </c>
      <c r="AC192" s="5">
        <v>919.14</v>
      </c>
      <c r="AD192" s="5">
        <v>220.04900000000001</v>
      </c>
    </row>
    <row r="193" spans="5:30" ht="15">
      <c r="E193" s="9">
        <v>39933</v>
      </c>
      <c r="F193" s="5">
        <v>197.12</v>
      </c>
      <c r="G193" s="5">
        <v>453.36070000000001</v>
      </c>
      <c r="H193" s="5">
        <v>653.96680000000003</v>
      </c>
      <c r="I193" s="5">
        <v>1462.75</v>
      </c>
      <c r="J193" s="5">
        <v>362.84070000000003</v>
      </c>
      <c r="K193" s="5">
        <v>1586.97</v>
      </c>
      <c r="L193" s="5">
        <v>1615.1</v>
      </c>
      <c r="M193" s="5">
        <v>1695.84</v>
      </c>
      <c r="N193" s="5">
        <v>1492.86</v>
      </c>
      <c r="O193" s="5">
        <v>1656.22</v>
      </c>
      <c r="P193" s="5">
        <v>790.08</v>
      </c>
      <c r="Q193" s="5">
        <v>396.57</v>
      </c>
      <c r="R193" s="5">
        <v>872.81</v>
      </c>
      <c r="S193" s="5">
        <v>893.02</v>
      </c>
      <c r="T193" s="5">
        <v>225.24</v>
      </c>
      <c r="U193" s="5">
        <v>662.73</v>
      </c>
      <c r="V193" s="5">
        <v>3986.1051000000002</v>
      </c>
      <c r="W193" s="5">
        <v>8684.5889999999999</v>
      </c>
      <c r="X193" s="5">
        <v>11998.2508</v>
      </c>
      <c r="Y193" s="5">
        <v>6488.7761</v>
      </c>
      <c r="Z193" s="5">
        <v>12811.928599999999</v>
      </c>
      <c r="AA193" s="5">
        <v>1890.61</v>
      </c>
      <c r="AB193" s="5">
        <v>19934.89</v>
      </c>
      <c r="AC193" s="5">
        <v>888.2</v>
      </c>
      <c r="AD193" s="5">
        <v>221.66200000000001</v>
      </c>
    </row>
    <row r="194" spans="5:30" ht="15">
      <c r="E194" s="9">
        <v>39962</v>
      </c>
      <c r="F194" s="5">
        <v>197.16</v>
      </c>
      <c r="G194" s="5">
        <v>454.154</v>
      </c>
      <c r="H194" s="5">
        <v>647.54999999999995</v>
      </c>
      <c r="I194" s="5">
        <v>1473.36</v>
      </c>
      <c r="J194" s="5">
        <v>363.42590000000001</v>
      </c>
      <c r="K194" s="5">
        <v>1591.61</v>
      </c>
      <c r="L194" s="5">
        <v>1678.15</v>
      </c>
      <c r="M194" s="5">
        <v>1730.87</v>
      </c>
      <c r="N194" s="5">
        <v>1599.63</v>
      </c>
      <c r="O194" s="5">
        <v>1704.81</v>
      </c>
      <c r="P194" s="5">
        <v>843.24</v>
      </c>
      <c r="Q194" s="5">
        <v>411.58</v>
      </c>
      <c r="R194" s="5">
        <v>919.14</v>
      </c>
      <c r="S194" s="5">
        <v>970</v>
      </c>
      <c r="T194" s="5">
        <v>246.69</v>
      </c>
      <c r="U194" s="5">
        <v>773.12</v>
      </c>
      <c r="V194" s="5">
        <v>4100.2438000000002</v>
      </c>
      <c r="W194" s="5">
        <v>9096.4961999999996</v>
      </c>
      <c r="X194" s="5">
        <v>12763.072399999999</v>
      </c>
      <c r="Y194" s="5">
        <v>6743.9736999999996</v>
      </c>
      <c r="Z194" s="5">
        <v>13264.861699999999</v>
      </c>
      <c r="AA194" s="5">
        <v>1929.39</v>
      </c>
      <c r="AB194" s="5">
        <v>22084.81</v>
      </c>
      <c r="AC194" s="5">
        <v>979.15</v>
      </c>
      <c r="AD194" s="5">
        <v>250.488</v>
      </c>
    </row>
    <row r="195" spans="5:30" ht="15">
      <c r="E195" s="9">
        <v>39994</v>
      </c>
      <c r="F195" s="5">
        <v>197.19</v>
      </c>
      <c r="G195" s="5">
        <v>453.53930000000003</v>
      </c>
      <c r="H195" s="5">
        <v>646.23140000000001</v>
      </c>
      <c r="I195" s="5">
        <v>1481.74</v>
      </c>
      <c r="J195" s="5">
        <v>366.75830000000002</v>
      </c>
      <c r="K195" s="5">
        <v>1593.6</v>
      </c>
      <c r="L195" s="5">
        <v>1723.99</v>
      </c>
      <c r="M195" s="5">
        <v>1776.62</v>
      </c>
      <c r="N195" s="5">
        <v>1639.14</v>
      </c>
      <c r="O195" s="5">
        <v>1771.81</v>
      </c>
      <c r="P195" s="5">
        <v>867.39</v>
      </c>
      <c r="Q195" s="5">
        <v>417.01</v>
      </c>
      <c r="R195" s="5">
        <v>919.32</v>
      </c>
      <c r="S195" s="5">
        <v>964.05</v>
      </c>
      <c r="T195" s="5">
        <v>244.9</v>
      </c>
      <c r="U195" s="5">
        <v>761.3</v>
      </c>
      <c r="V195" s="5">
        <v>4119.0946999999996</v>
      </c>
      <c r="W195" s="5">
        <v>9235.4707999999991</v>
      </c>
      <c r="X195" s="5">
        <v>12786.320100000001</v>
      </c>
      <c r="Y195" s="5">
        <v>6848.2380999999996</v>
      </c>
      <c r="Z195" s="5">
        <v>13109.794</v>
      </c>
      <c r="AA195" s="5">
        <v>1879</v>
      </c>
      <c r="AB195" s="5">
        <v>23248.639999999999</v>
      </c>
      <c r="AC195" s="5">
        <v>926.6</v>
      </c>
      <c r="AD195" s="5">
        <v>245.72200000000001</v>
      </c>
    </row>
    <row r="196" spans="5:30" ht="15">
      <c r="E196" s="9">
        <v>40025</v>
      </c>
      <c r="F196" s="5">
        <v>197.27</v>
      </c>
      <c r="G196" s="5">
        <v>454.1114</v>
      </c>
      <c r="H196" s="5">
        <v>648.70129999999995</v>
      </c>
      <c r="I196" s="5">
        <v>1505.64</v>
      </c>
      <c r="J196" s="5">
        <v>371.64170000000001</v>
      </c>
      <c r="K196" s="5">
        <v>1606.64</v>
      </c>
      <c r="L196" s="5">
        <v>1798.42</v>
      </c>
      <c r="M196" s="5">
        <v>1855.29</v>
      </c>
      <c r="N196" s="5">
        <v>1706.95</v>
      </c>
      <c r="O196" s="5">
        <v>1848.92</v>
      </c>
      <c r="P196" s="5">
        <v>920.18</v>
      </c>
      <c r="Q196" s="5">
        <v>429.88</v>
      </c>
      <c r="R196" s="5">
        <v>987.48</v>
      </c>
      <c r="S196" s="5">
        <v>1044.75</v>
      </c>
      <c r="T196" s="5">
        <v>266.14</v>
      </c>
      <c r="U196" s="5">
        <v>844.02</v>
      </c>
      <c r="V196" s="5">
        <v>4179.7861000000003</v>
      </c>
      <c r="W196" s="5">
        <v>9493.7039999999997</v>
      </c>
      <c r="X196" s="5">
        <v>13195.8732</v>
      </c>
      <c r="Y196" s="5">
        <v>7051.5793999999996</v>
      </c>
      <c r="Z196" s="5">
        <v>13174.286400000001</v>
      </c>
      <c r="AA196" s="5">
        <v>2072.83</v>
      </c>
      <c r="AB196" s="5">
        <v>25358.06</v>
      </c>
      <c r="AC196" s="5">
        <v>954</v>
      </c>
      <c r="AD196" s="5">
        <v>253.66300000000001</v>
      </c>
    </row>
    <row r="197" spans="5:30" ht="15">
      <c r="E197" s="9">
        <v>40056</v>
      </c>
      <c r="F197" s="5">
        <v>197.34</v>
      </c>
      <c r="G197" s="5">
        <v>456.01100000000002</v>
      </c>
      <c r="H197" s="5">
        <v>654.72379999999998</v>
      </c>
      <c r="I197" s="5">
        <v>1521.23</v>
      </c>
      <c r="J197" s="5">
        <v>375.45440000000002</v>
      </c>
      <c r="K197" s="5">
        <v>1617.37</v>
      </c>
      <c r="L197" s="5">
        <v>1831.4</v>
      </c>
      <c r="M197" s="5">
        <v>1880.26</v>
      </c>
      <c r="N197" s="5">
        <v>1750.44</v>
      </c>
      <c r="O197" s="5">
        <v>1884.5</v>
      </c>
      <c r="P197" s="5">
        <v>937.34</v>
      </c>
      <c r="Q197" s="5">
        <v>438.05</v>
      </c>
      <c r="R197" s="5">
        <v>1020.63</v>
      </c>
      <c r="S197" s="5">
        <v>1085.5999999999999</v>
      </c>
      <c r="T197" s="5">
        <v>275.10000000000002</v>
      </c>
      <c r="U197" s="5">
        <v>839.46</v>
      </c>
      <c r="V197" s="5">
        <v>4227.6778000000004</v>
      </c>
      <c r="W197" s="5">
        <v>9712.0859</v>
      </c>
      <c r="X197" s="5">
        <v>13376.295899999999</v>
      </c>
      <c r="Y197" s="5">
        <v>7175.1391999999996</v>
      </c>
      <c r="Z197" s="5">
        <v>13223.647800000001</v>
      </c>
      <c r="AA197" s="5">
        <v>2332.2199999999998</v>
      </c>
      <c r="AB197" s="5">
        <v>26396.5</v>
      </c>
      <c r="AC197" s="5">
        <v>951.25</v>
      </c>
      <c r="AD197" s="5">
        <v>252.185</v>
      </c>
    </row>
    <row r="198" spans="5:30" ht="15">
      <c r="E198" s="9">
        <v>40086</v>
      </c>
      <c r="F198" s="5">
        <v>197.41</v>
      </c>
      <c r="G198" s="5">
        <v>457.00670000000002</v>
      </c>
      <c r="H198" s="5">
        <v>659.6</v>
      </c>
      <c r="I198" s="5">
        <v>1537.21</v>
      </c>
      <c r="J198" s="5">
        <v>378.62639999999999</v>
      </c>
      <c r="K198" s="5">
        <v>1630.37</v>
      </c>
      <c r="L198" s="5">
        <v>1863.91</v>
      </c>
      <c r="M198" s="5">
        <v>1906.44</v>
      </c>
      <c r="N198" s="5">
        <v>1793.86</v>
      </c>
      <c r="O198" s="5">
        <v>1910.94</v>
      </c>
      <c r="P198" s="5">
        <v>990.72</v>
      </c>
      <c r="Q198" s="5">
        <v>459.59</v>
      </c>
      <c r="R198" s="5">
        <v>1057.08</v>
      </c>
      <c r="S198" s="5">
        <v>1126.98</v>
      </c>
      <c r="T198" s="5">
        <v>287.23</v>
      </c>
      <c r="U198" s="5">
        <v>914.05</v>
      </c>
      <c r="V198" s="5">
        <v>4299.2579999999998</v>
      </c>
      <c r="W198" s="5">
        <v>10077.4354</v>
      </c>
      <c r="X198" s="5">
        <v>13806.599399999999</v>
      </c>
      <c r="Y198" s="5">
        <v>7351.0064000000002</v>
      </c>
      <c r="Z198" s="5">
        <v>13449.626700000001</v>
      </c>
      <c r="AA198" s="5">
        <v>2480.34</v>
      </c>
      <c r="AB198" s="5">
        <v>28220.49</v>
      </c>
      <c r="AC198" s="5">
        <v>1007.7</v>
      </c>
      <c r="AD198" s="5">
        <v>256.15300000000002</v>
      </c>
    </row>
    <row r="199" spans="5:30" ht="15">
      <c r="E199" s="9">
        <v>40116</v>
      </c>
      <c r="F199" s="5">
        <v>197.46</v>
      </c>
      <c r="G199" s="5">
        <v>457.8981</v>
      </c>
      <c r="H199" s="5">
        <v>659.18399999999997</v>
      </c>
      <c r="I199" s="5">
        <v>1544.8</v>
      </c>
      <c r="J199" s="5">
        <v>379.4246</v>
      </c>
      <c r="K199" s="5">
        <v>1642.02</v>
      </c>
      <c r="L199" s="5">
        <v>1877.01</v>
      </c>
      <c r="M199" s="5">
        <v>1910.65</v>
      </c>
      <c r="N199" s="5">
        <v>1822.59</v>
      </c>
      <c r="O199" s="5">
        <v>1914.08</v>
      </c>
      <c r="P199" s="5">
        <v>1008.5</v>
      </c>
      <c r="Q199" s="5">
        <v>460.27</v>
      </c>
      <c r="R199" s="5">
        <v>1036.19</v>
      </c>
      <c r="S199" s="5">
        <v>1106.17</v>
      </c>
      <c r="T199" s="5">
        <v>282.58999999999997</v>
      </c>
      <c r="U199" s="5">
        <v>914.26</v>
      </c>
      <c r="V199" s="5">
        <v>4297.5515999999998</v>
      </c>
      <c r="W199" s="5">
        <v>10131.514999999999</v>
      </c>
      <c r="X199" s="5">
        <v>13707.6024</v>
      </c>
      <c r="Y199" s="5">
        <v>7443.3141999999998</v>
      </c>
      <c r="Z199" s="5">
        <v>13380.286099999999</v>
      </c>
      <c r="AA199" s="5">
        <v>2362.14</v>
      </c>
      <c r="AB199" s="5">
        <v>25873.21</v>
      </c>
      <c r="AC199" s="5">
        <v>1045.4000000000001</v>
      </c>
      <c r="AD199" s="5">
        <v>264.5539</v>
      </c>
    </row>
    <row r="200" spans="5:30" ht="15">
      <c r="E200" s="9">
        <v>40147</v>
      </c>
      <c r="F200" s="5">
        <v>197.5</v>
      </c>
      <c r="G200" s="5">
        <v>460.65969999999999</v>
      </c>
      <c r="H200" s="5">
        <v>668.34040000000005</v>
      </c>
      <c r="I200" s="5">
        <v>1564.8</v>
      </c>
      <c r="J200" s="5">
        <v>383.24689999999998</v>
      </c>
      <c r="K200" s="5">
        <v>1663.08</v>
      </c>
      <c r="L200" s="5">
        <v>1903.86</v>
      </c>
      <c r="M200" s="5">
        <v>1943.15</v>
      </c>
      <c r="N200" s="5">
        <v>1839.67</v>
      </c>
      <c r="O200" s="5">
        <v>1946.73</v>
      </c>
      <c r="P200" s="5">
        <v>1018.66</v>
      </c>
      <c r="Q200" s="5">
        <v>465.09</v>
      </c>
      <c r="R200" s="5">
        <v>1095.6300000000001</v>
      </c>
      <c r="S200" s="5">
        <v>1149.01</v>
      </c>
      <c r="T200" s="5">
        <v>293.67</v>
      </c>
      <c r="U200" s="5">
        <v>953.13</v>
      </c>
      <c r="V200" s="5">
        <v>4331.8503000000001</v>
      </c>
      <c r="W200" s="5">
        <v>10259.0841</v>
      </c>
      <c r="X200" s="5">
        <v>13922.3081</v>
      </c>
      <c r="Y200" s="5">
        <v>7488.7524000000003</v>
      </c>
      <c r="Z200" s="5">
        <v>13670.636699999999</v>
      </c>
      <c r="AA200" s="5">
        <v>2526.31</v>
      </c>
      <c r="AB200" s="5">
        <v>25928.55</v>
      </c>
      <c r="AC200" s="5">
        <v>1179.5999999999999</v>
      </c>
      <c r="AD200" s="5">
        <v>273.85939999999999</v>
      </c>
    </row>
    <row r="201" spans="5:30" ht="15">
      <c r="E201" s="9">
        <v>40178</v>
      </c>
      <c r="F201" s="5">
        <v>197.49</v>
      </c>
      <c r="G201" s="5">
        <v>457.03699999999998</v>
      </c>
      <c r="H201" s="5">
        <v>651.14589999999998</v>
      </c>
      <c r="I201" s="5">
        <v>1540.34</v>
      </c>
      <c r="J201" s="5">
        <v>379.73009999999999</v>
      </c>
      <c r="K201" s="5">
        <v>1639.67</v>
      </c>
      <c r="L201" s="5">
        <v>1889</v>
      </c>
      <c r="M201" s="5">
        <v>1921.17</v>
      </c>
      <c r="N201" s="5">
        <v>1840.45</v>
      </c>
      <c r="O201" s="5">
        <v>1914.02</v>
      </c>
      <c r="P201" s="5">
        <v>1052.08</v>
      </c>
      <c r="Q201" s="5">
        <v>466.58</v>
      </c>
      <c r="R201" s="5">
        <v>1115.0999999999999</v>
      </c>
      <c r="S201" s="5">
        <v>1168.47</v>
      </c>
      <c r="T201" s="5">
        <v>299.44</v>
      </c>
      <c r="U201" s="5">
        <v>989.47</v>
      </c>
      <c r="V201" s="5">
        <v>4366.9079000000002</v>
      </c>
      <c r="W201" s="5">
        <v>10501.055200000001</v>
      </c>
      <c r="X201" s="5">
        <v>14210.234</v>
      </c>
      <c r="Y201" s="5">
        <v>7642.3634000000002</v>
      </c>
      <c r="Z201" s="5">
        <v>13492.601000000001</v>
      </c>
      <c r="AA201" s="5">
        <v>2690.12</v>
      </c>
      <c r="AB201" s="5">
        <v>27618.94</v>
      </c>
      <c r="AC201" s="5">
        <v>1096.95</v>
      </c>
      <c r="AD201" s="5">
        <v>279.27890000000002</v>
      </c>
    </row>
    <row r="202" spans="5:30" ht="15">
      <c r="E202" s="9">
        <v>40207</v>
      </c>
      <c r="F202" s="5">
        <v>197.56</v>
      </c>
      <c r="G202" s="5">
        <v>460.48759999999999</v>
      </c>
      <c r="H202" s="5">
        <v>661.32270000000005</v>
      </c>
      <c r="I202" s="5">
        <v>1563.87</v>
      </c>
      <c r="J202" s="5">
        <v>383.6198</v>
      </c>
      <c r="K202" s="5">
        <v>1661.42</v>
      </c>
      <c r="L202" s="5">
        <v>1919.82</v>
      </c>
      <c r="M202" s="5">
        <v>1951.2</v>
      </c>
      <c r="N202" s="5">
        <v>1869.92</v>
      </c>
      <c r="O202" s="5">
        <v>1953.06</v>
      </c>
      <c r="P202" s="5">
        <v>1065.3900000000001</v>
      </c>
      <c r="Q202" s="5">
        <v>468.3</v>
      </c>
      <c r="R202" s="5">
        <v>1073.8699999999999</v>
      </c>
      <c r="S202" s="5">
        <v>1119.54</v>
      </c>
      <c r="T202" s="5">
        <v>286.33</v>
      </c>
      <c r="U202" s="5">
        <v>933.59</v>
      </c>
      <c r="V202" s="5">
        <v>4361.7497000000003</v>
      </c>
      <c r="W202" s="5">
        <v>10573.738799999999</v>
      </c>
      <c r="X202" s="5">
        <v>14029.5797</v>
      </c>
      <c r="Y202" s="5">
        <v>7759.4264999999996</v>
      </c>
      <c r="Z202" s="5">
        <v>13229.0828</v>
      </c>
      <c r="AA202" s="5">
        <v>2562.66</v>
      </c>
      <c r="AB202" s="5">
        <v>27335.56</v>
      </c>
      <c r="AC202" s="5">
        <v>1080.8499999999999</v>
      </c>
      <c r="AD202" s="5">
        <v>258.95319999999998</v>
      </c>
    </row>
    <row r="203" spans="5:30" ht="15">
      <c r="E203" s="9">
        <v>40235</v>
      </c>
      <c r="F203" s="5">
        <v>197.57</v>
      </c>
      <c r="G203" s="5">
        <v>461.30110000000002</v>
      </c>
      <c r="H203" s="5">
        <v>663.80240000000003</v>
      </c>
      <c r="I203" s="5">
        <v>1569.71</v>
      </c>
      <c r="J203" s="5">
        <v>385.43169999999998</v>
      </c>
      <c r="K203" s="5">
        <v>1664.37</v>
      </c>
      <c r="L203" s="5">
        <v>1926.64</v>
      </c>
      <c r="M203" s="5">
        <v>1960.51</v>
      </c>
      <c r="N203" s="5">
        <v>1873.06</v>
      </c>
      <c r="O203" s="5">
        <v>1960.43</v>
      </c>
      <c r="P203" s="5">
        <v>1067.25</v>
      </c>
      <c r="Q203" s="5">
        <v>474.93</v>
      </c>
      <c r="R203" s="5">
        <v>1104.49</v>
      </c>
      <c r="S203" s="5">
        <v>1133.3499999999999</v>
      </c>
      <c r="T203" s="5">
        <v>289.5</v>
      </c>
      <c r="U203" s="5">
        <v>935.93</v>
      </c>
      <c r="V203" s="5">
        <v>4367.1900999999998</v>
      </c>
      <c r="W203" s="5">
        <v>10658.9367</v>
      </c>
      <c r="X203" s="5">
        <v>14158.2232</v>
      </c>
      <c r="Y203" s="5">
        <v>7803.0675000000001</v>
      </c>
      <c r="Z203" s="5">
        <v>13250.2135</v>
      </c>
      <c r="AA203" s="5">
        <v>2692.79</v>
      </c>
      <c r="AB203" s="5">
        <v>28661.49</v>
      </c>
      <c r="AC203" s="5">
        <v>1117.5999999999999</v>
      </c>
      <c r="AD203" s="5">
        <v>268.56740000000002</v>
      </c>
    </row>
    <row r="204" spans="5:30" ht="15">
      <c r="E204" s="9">
        <v>40268</v>
      </c>
      <c r="F204" s="5">
        <v>197.58</v>
      </c>
      <c r="G204" s="5">
        <v>460.19909999999999</v>
      </c>
      <c r="H204" s="5">
        <v>658.32449999999994</v>
      </c>
      <c r="I204" s="5">
        <v>1567.78</v>
      </c>
      <c r="J204" s="5">
        <v>386.17509999999999</v>
      </c>
      <c r="K204" s="5">
        <v>1664.92</v>
      </c>
      <c r="L204" s="5">
        <v>1932.4</v>
      </c>
      <c r="M204" s="5">
        <v>1958.94</v>
      </c>
      <c r="N204" s="5">
        <v>1893.19</v>
      </c>
      <c r="O204" s="5">
        <v>1953.69</v>
      </c>
      <c r="P204" s="5">
        <v>1100.71</v>
      </c>
      <c r="Q204" s="5">
        <v>486.01</v>
      </c>
      <c r="R204" s="5">
        <v>1169.43</v>
      </c>
      <c r="S204" s="5">
        <v>1200.53</v>
      </c>
      <c r="T204" s="5">
        <v>307.39999999999998</v>
      </c>
      <c r="U204" s="5">
        <v>1010.33</v>
      </c>
      <c r="V204" s="5">
        <v>4435.1404000000002</v>
      </c>
      <c r="W204" s="5">
        <v>10982.580900000001</v>
      </c>
      <c r="X204" s="5">
        <v>14604.754199999999</v>
      </c>
      <c r="Y204" s="5">
        <v>7929.5212000000001</v>
      </c>
      <c r="Z204" s="5">
        <v>13460.915499999999</v>
      </c>
      <c r="AA204" s="5">
        <v>2944.71</v>
      </c>
      <c r="AB204" s="5">
        <v>30822.32</v>
      </c>
      <c r="AC204" s="5">
        <v>1113.25</v>
      </c>
      <c r="AD204" s="5">
        <v>265.23079999999999</v>
      </c>
    </row>
    <row r="205" spans="5:30" ht="15">
      <c r="E205" s="9">
        <v>40298</v>
      </c>
      <c r="F205" s="5">
        <v>197.62</v>
      </c>
      <c r="G205" s="5">
        <v>461.41449999999998</v>
      </c>
      <c r="H205" s="5">
        <v>665.08339999999998</v>
      </c>
      <c r="I205" s="5">
        <v>1584.1</v>
      </c>
      <c r="J205" s="5">
        <v>388.327</v>
      </c>
      <c r="K205" s="5">
        <v>1674.95</v>
      </c>
      <c r="L205" s="5">
        <v>1967.57</v>
      </c>
      <c r="M205" s="5">
        <v>1998.3</v>
      </c>
      <c r="N205" s="5">
        <v>1919.21</v>
      </c>
      <c r="O205" s="5">
        <v>1999.64</v>
      </c>
      <c r="P205" s="5">
        <v>1126.51</v>
      </c>
      <c r="Q205" s="5">
        <v>489.71</v>
      </c>
      <c r="R205" s="5">
        <v>1186.69</v>
      </c>
      <c r="S205" s="5">
        <v>1198.56</v>
      </c>
      <c r="T205" s="5">
        <v>307.35000000000002</v>
      </c>
      <c r="U205" s="5">
        <v>1020.03</v>
      </c>
      <c r="V205" s="5">
        <v>4473.7561999999998</v>
      </c>
      <c r="W205" s="5">
        <v>11173.788</v>
      </c>
      <c r="X205" s="5">
        <v>14778.5131</v>
      </c>
      <c r="Y205" s="5">
        <v>8039.7221</v>
      </c>
      <c r="Z205" s="5">
        <v>13570.9728</v>
      </c>
      <c r="AA205" s="5">
        <v>3138.77</v>
      </c>
      <c r="AB205" s="5">
        <v>34011.08</v>
      </c>
      <c r="AC205" s="5">
        <v>1179.2</v>
      </c>
      <c r="AD205" s="5">
        <v>270.38760000000002</v>
      </c>
    </row>
    <row r="206" spans="5:30" ht="15">
      <c r="E206" s="9">
        <v>40329</v>
      </c>
      <c r="F206" s="5">
        <v>197.67</v>
      </c>
      <c r="G206" s="5">
        <v>463.47190000000001</v>
      </c>
      <c r="H206" s="5">
        <v>676.33370000000002</v>
      </c>
      <c r="I206" s="5">
        <v>1597.43</v>
      </c>
      <c r="J206" s="5">
        <v>391.33330000000001</v>
      </c>
      <c r="K206" s="5">
        <v>1693.71</v>
      </c>
      <c r="L206" s="5">
        <v>1956.73</v>
      </c>
      <c r="M206" s="5">
        <v>1996.65</v>
      </c>
      <c r="N206" s="5">
        <v>1892.96</v>
      </c>
      <c r="O206" s="5">
        <v>1996.1</v>
      </c>
      <c r="P206" s="5">
        <v>1086.03</v>
      </c>
      <c r="Q206" s="5">
        <v>481.98</v>
      </c>
      <c r="R206" s="5">
        <v>1089.4100000000001</v>
      </c>
      <c r="S206" s="5">
        <v>1079.8</v>
      </c>
      <c r="T206" s="5">
        <v>277.17</v>
      </c>
      <c r="U206" s="5">
        <v>926.4</v>
      </c>
      <c r="V206" s="5">
        <v>4370.8603999999996</v>
      </c>
      <c r="W206" s="5">
        <v>10876.1451</v>
      </c>
      <c r="X206" s="5">
        <v>14180.5224</v>
      </c>
      <c r="Y206" s="5">
        <v>7895.8563999999997</v>
      </c>
      <c r="Z206" s="5">
        <v>13356.1283</v>
      </c>
      <c r="AA206" s="5">
        <v>2972.37</v>
      </c>
      <c r="AB206" s="5">
        <v>30943.07</v>
      </c>
      <c r="AC206" s="5">
        <v>1216.2</v>
      </c>
      <c r="AD206" s="5">
        <v>251.6688</v>
      </c>
    </row>
    <row r="207" spans="5:30" ht="15">
      <c r="E207" s="9">
        <v>40359</v>
      </c>
      <c r="F207" s="5">
        <v>197.71</v>
      </c>
      <c r="G207" s="5">
        <v>465.4742</v>
      </c>
      <c r="H207" s="5">
        <v>688.69970000000001</v>
      </c>
      <c r="I207" s="5">
        <v>1622.48</v>
      </c>
      <c r="J207" s="5">
        <v>394.9049</v>
      </c>
      <c r="K207" s="5">
        <v>1712.72</v>
      </c>
      <c r="L207" s="5">
        <v>1998.43</v>
      </c>
      <c r="M207" s="5">
        <v>2041.49</v>
      </c>
      <c r="N207" s="5">
        <v>1927.57</v>
      </c>
      <c r="O207" s="5">
        <v>2046.54</v>
      </c>
      <c r="P207" s="5">
        <v>1099.55</v>
      </c>
      <c r="Q207" s="5">
        <v>491.65</v>
      </c>
      <c r="R207" s="5">
        <v>1030.71</v>
      </c>
      <c r="S207" s="5">
        <v>1041.32</v>
      </c>
      <c r="T207" s="5">
        <v>268.25</v>
      </c>
      <c r="U207" s="5">
        <v>917.99</v>
      </c>
      <c r="V207" s="5">
        <v>4326.1688999999997</v>
      </c>
      <c r="W207" s="5">
        <v>10757.562400000001</v>
      </c>
      <c r="X207" s="5">
        <v>13918.8408</v>
      </c>
      <c r="Y207" s="5">
        <v>7924.7241000000004</v>
      </c>
      <c r="Z207" s="5">
        <v>13340.6435</v>
      </c>
      <c r="AA207" s="5">
        <v>2836.82</v>
      </c>
      <c r="AB207" s="5">
        <v>28503.23</v>
      </c>
      <c r="AC207" s="5">
        <v>1242.25</v>
      </c>
      <c r="AD207" s="5">
        <v>252.46969999999999</v>
      </c>
    </row>
    <row r="208" spans="5:30" ht="15">
      <c r="E208" s="9">
        <v>40389</v>
      </c>
      <c r="F208" s="5">
        <v>197.75</v>
      </c>
      <c r="G208" s="5">
        <v>466.70499999999998</v>
      </c>
      <c r="H208" s="5">
        <v>693.31610000000001</v>
      </c>
      <c r="I208" s="5">
        <v>1639.79</v>
      </c>
      <c r="J208" s="5">
        <v>398.11709999999999</v>
      </c>
      <c r="K208" s="5">
        <v>1727.41</v>
      </c>
      <c r="L208" s="5">
        <v>2037.58</v>
      </c>
      <c r="M208" s="5">
        <v>2076.87</v>
      </c>
      <c r="N208" s="5">
        <v>1972.82</v>
      </c>
      <c r="O208" s="5">
        <v>2083.84</v>
      </c>
      <c r="P208" s="5">
        <v>1138.6500000000001</v>
      </c>
      <c r="Q208" s="5">
        <v>511.89</v>
      </c>
      <c r="R208" s="5">
        <v>1101.5999999999999</v>
      </c>
      <c r="S208" s="5">
        <v>1124.83</v>
      </c>
      <c r="T208" s="5">
        <v>289.75</v>
      </c>
      <c r="U208" s="5">
        <v>991.41</v>
      </c>
      <c r="V208" s="5">
        <v>4354.0531000000001</v>
      </c>
      <c r="W208" s="5">
        <v>10969.6533</v>
      </c>
      <c r="X208" s="5">
        <v>14246.867</v>
      </c>
      <c r="Y208" s="5">
        <v>8059.5628999999999</v>
      </c>
      <c r="Z208" s="5">
        <v>13332.331</v>
      </c>
      <c r="AA208" s="5">
        <v>3092.76</v>
      </c>
      <c r="AB208" s="5">
        <v>29926.6</v>
      </c>
      <c r="AC208" s="5">
        <v>1181</v>
      </c>
      <c r="AD208" s="5">
        <v>269.57260000000002</v>
      </c>
    </row>
    <row r="209" spans="5:30" ht="15">
      <c r="E209" s="9">
        <v>40421</v>
      </c>
      <c r="F209" s="5">
        <v>197.8</v>
      </c>
      <c r="G209" s="5">
        <v>467.57459999999998</v>
      </c>
      <c r="H209" s="5">
        <v>707.1558</v>
      </c>
      <c r="I209" s="5">
        <v>1660.89</v>
      </c>
      <c r="J209" s="5">
        <v>404.72539999999998</v>
      </c>
      <c r="K209" s="5">
        <v>1730.06</v>
      </c>
      <c r="L209" s="5">
        <v>2077.9899999999998</v>
      </c>
      <c r="M209" s="5">
        <v>2121.63</v>
      </c>
      <c r="N209" s="5">
        <v>2002.73</v>
      </c>
      <c r="O209" s="5">
        <v>2138.86</v>
      </c>
      <c r="P209" s="5">
        <v>1139.06</v>
      </c>
      <c r="Q209" s="5">
        <v>523.79999999999995</v>
      </c>
      <c r="R209" s="5">
        <v>1049.33</v>
      </c>
      <c r="S209" s="5">
        <v>1080.7</v>
      </c>
      <c r="T209" s="5">
        <v>279.06</v>
      </c>
      <c r="U209" s="5">
        <v>970.05</v>
      </c>
      <c r="V209" s="5">
        <v>4360.4875000000002</v>
      </c>
      <c r="W209" s="5">
        <v>10927.567499999999</v>
      </c>
      <c r="X209" s="5">
        <v>14051.308999999999</v>
      </c>
      <c r="Y209" s="5">
        <v>8125.5532000000003</v>
      </c>
      <c r="Z209" s="5">
        <v>13557.523999999999</v>
      </c>
      <c r="AA209" s="5">
        <v>3050.51</v>
      </c>
      <c r="AB209" s="5">
        <v>27524.400000000001</v>
      </c>
      <c r="AC209" s="5">
        <v>1247.45</v>
      </c>
      <c r="AD209" s="5">
        <v>262.71159999999998</v>
      </c>
    </row>
    <row r="210" spans="5:30" ht="15">
      <c r="E210" s="9">
        <v>40451</v>
      </c>
      <c r="F210" s="5">
        <v>197.83</v>
      </c>
      <c r="G210" s="5">
        <v>468.29719999999998</v>
      </c>
      <c r="H210" s="5">
        <v>707.16589999999997</v>
      </c>
      <c r="I210" s="5">
        <v>1662.66</v>
      </c>
      <c r="J210" s="5">
        <v>403.82150000000001</v>
      </c>
      <c r="K210" s="5">
        <v>1723.47</v>
      </c>
      <c r="L210" s="5">
        <v>2092.52</v>
      </c>
      <c r="M210" s="5">
        <v>2132.81</v>
      </c>
      <c r="N210" s="5">
        <v>2025.2</v>
      </c>
      <c r="O210" s="5">
        <v>2142.9499999999998</v>
      </c>
      <c r="P210" s="5">
        <v>1173.3800000000001</v>
      </c>
      <c r="Q210" s="5">
        <v>532.58000000000004</v>
      </c>
      <c r="R210" s="5">
        <v>1141.2</v>
      </c>
      <c r="S210" s="5">
        <v>1179.19</v>
      </c>
      <c r="T210" s="5">
        <v>305.16000000000003</v>
      </c>
      <c r="U210" s="5">
        <v>1075.53</v>
      </c>
      <c r="V210" s="5">
        <v>4447.3213999999998</v>
      </c>
      <c r="W210" s="5">
        <v>11202.8588</v>
      </c>
      <c r="X210" s="5">
        <v>14717.319600000001</v>
      </c>
      <c r="Y210" s="5">
        <v>8258.1175999999996</v>
      </c>
      <c r="Z210" s="5">
        <v>13928.3614</v>
      </c>
      <c r="AA210" s="5">
        <v>3187.27</v>
      </c>
      <c r="AB210" s="5">
        <v>30635.89</v>
      </c>
      <c r="AC210" s="5">
        <v>1308.3499999999999</v>
      </c>
      <c r="AD210" s="5">
        <v>281.78530000000001</v>
      </c>
    </row>
    <row r="211" spans="5:30" ht="15">
      <c r="E211" s="9">
        <v>40480</v>
      </c>
      <c r="F211" s="5">
        <v>197.87</v>
      </c>
      <c r="G211" s="5">
        <v>469.3811</v>
      </c>
      <c r="H211" s="5">
        <v>706.01049999999998</v>
      </c>
      <c r="I211" s="5">
        <v>1668.58</v>
      </c>
      <c r="J211" s="5">
        <v>403.4599</v>
      </c>
      <c r="K211" s="5">
        <v>1740.35</v>
      </c>
      <c r="L211" s="5">
        <v>2094.9899999999998</v>
      </c>
      <c r="M211" s="5">
        <v>2131.8000000000002</v>
      </c>
      <c r="N211" s="5">
        <v>2036.45</v>
      </c>
      <c r="O211" s="5">
        <v>2132.79</v>
      </c>
      <c r="P211" s="5">
        <v>1203.68</v>
      </c>
      <c r="Q211" s="5">
        <v>541.74</v>
      </c>
      <c r="R211" s="5">
        <v>1183.26</v>
      </c>
      <c r="S211" s="5">
        <v>1222.23</v>
      </c>
      <c r="T211" s="5">
        <v>315.95</v>
      </c>
      <c r="U211" s="5">
        <v>1105.75</v>
      </c>
      <c r="V211" s="5">
        <v>4509.0217000000002</v>
      </c>
      <c r="W211" s="5">
        <v>11411.1639</v>
      </c>
      <c r="X211" s="5">
        <v>15065.619199999999</v>
      </c>
      <c r="Y211" s="5">
        <v>8387.0074999999997</v>
      </c>
      <c r="Z211" s="5">
        <v>14239.0774</v>
      </c>
      <c r="AA211" s="5">
        <v>3332.1</v>
      </c>
      <c r="AB211" s="5">
        <v>32072.43</v>
      </c>
      <c r="AC211" s="5">
        <v>1359.4</v>
      </c>
      <c r="AD211" s="5">
        <v>295.82600000000002</v>
      </c>
    </row>
    <row r="212" spans="5:30" ht="15">
      <c r="E212" s="9">
        <v>40512</v>
      </c>
      <c r="F212" s="5">
        <v>197.88</v>
      </c>
      <c r="G212" s="5">
        <v>468.52359999999999</v>
      </c>
      <c r="H212" s="5">
        <v>701.17939999999999</v>
      </c>
      <c r="I212" s="5">
        <v>1658.99</v>
      </c>
      <c r="J212" s="5">
        <v>399.12</v>
      </c>
      <c r="K212" s="5">
        <v>1737.22</v>
      </c>
      <c r="L212" s="5">
        <v>2077.9899999999998</v>
      </c>
      <c r="M212" s="5">
        <v>2114.92</v>
      </c>
      <c r="N212" s="5">
        <v>2018.19</v>
      </c>
      <c r="O212" s="5">
        <v>2119.29</v>
      </c>
      <c r="P212" s="5">
        <v>1189.6199999999999</v>
      </c>
      <c r="Q212" s="5">
        <v>524.49</v>
      </c>
      <c r="R212" s="5">
        <v>1180.55</v>
      </c>
      <c r="S212" s="5">
        <v>1193.56</v>
      </c>
      <c r="T212" s="5">
        <v>308.38</v>
      </c>
      <c r="U212" s="5">
        <v>1075.8499999999999</v>
      </c>
      <c r="V212" s="5">
        <v>4508.1797999999999</v>
      </c>
      <c r="W212" s="5">
        <v>11440.745199999999</v>
      </c>
      <c r="X212" s="5">
        <v>15161.6183</v>
      </c>
      <c r="Y212" s="5">
        <v>8425.8997999999992</v>
      </c>
      <c r="Z212" s="5">
        <v>14108.606900000001</v>
      </c>
      <c r="AA212" s="5">
        <v>3277.59</v>
      </c>
      <c r="AB212" s="5">
        <v>32974.5</v>
      </c>
      <c r="AC212" s="5">
        <v>1386.03</v>
      </c>
      <c r="AD212" s="5">
        <v>294.77870000000001</v>
      </c>
    </row>
    <row r="213" spans="5:30" ht="15">
      <c r="E213" s="9">
        <v>40543</v>
      </c>
      <c r="F213" s="5">
        <v>197.93</v>
      </c>
      <c r="G213" s="5">
        <v>467.67099999999999</v>
      </c>
      <c r="H213" s="5">
        <v>688.99879999999996</v>
      </c>
      <c r="I213" s="5">
        <v>1641.1</v>
      </c>
      <c r="J213" s="5">
        <v>397.24869999999999</v>
      </c>
      <c r="K213" s="5">
        <v>1727.67</v>
      </c>
      <c r="L213" s="5">
        <v>2058.9299999999998</v>
      </c>
      <c r="M213" s="5">
        <v>2087.4299999999998</v>
      </c>
      <c r="N213" s="5">
        <v>2014.25</v>
      </c>
      <c r="O213" s="5">
        <v>2090.1999999999998</v>
      </c>
      <c r="P213" s="5">
        <v>1211.19</v>
      </c>
      <c r="Q213" s="5">
        <v>522.75</v>
      </c>
      <c r="R213" s="5">
        <v>1257.6400000000001</v>
      </c>
      <c r="S213" s="5">
        <v>1280.07</v>
      </c>
      <c r="T213" s="5">
        <v>330.64</v>
      </c>
      <c r="U213" s="5">
        <v>1151.3800000000001</v>
      </c>
      <c r="V213" s="5">
        <v>4606.1641</v>
      </c>
      <c r="W213" s="5">
        <v>11746.741099999999</v>
      </c>
      <c r="X213" s="5">
        <v>15695.802</v>
      </c>
      <c r="Y213" s="5">
        <v>8515.8307999999997</v>
      </c>
      <c r="Z213" s="5">
        <v>14579.778399999999</v>
      </c>
      <c r="AA213" s="5">
        <v>3431.62</v>
      </c>
      <c r="AB213" s="5">
        <v>35926.49</v>
      </c>
      <c r="AC213" s="5">
        <v>1420.78</v>
      </c>
      <c r="AD213" s="5">
        <v>326.28750000000002</v>
      </c>
    </row>
    <row r="214" spans="5:30" ht="15">
      <c r="E214" s="9">
        <v>40574</v>
      </c>
      <c r="F214" s="5">
        <v>197.96</v>
      </c>
      <c r="G214" s="5">
        <v>468.42930000000001</v>
      </c>
      <c r="H214" s="5">
        <v>688.62959999999998</v>
      </c>
      <c r="I214" s="5">
        <v>1643.01</v>
      </c>
      <c r="J214" s="5">
        <v>396.0181</v>
      </c>
      <c r="K214" s="5">
        <v>1728.56</v>
      </c>
      <c r="L214" s="5">
        <v>2063.0300000000002</v>
      </c>
      <c r="M214" s="5">
        <v>2087.9299999999998</v>
      </c>
      <c r="N214" s="5">
        <v>2024.99</v>
      </c>
      <c r="O214" s="5">
        <v>2089.4</v>
      </c>
      <c r="P214" s="5">
        <v>1237.9100000000001</v>
      </c>
      <c r="Q214" s="5">
        <v>519.91</v>
      </c>
      <c r="R214" s="5">
        <v>1286.1199999999999</v>
      </c>
      <c r="S214" s="5">
        <v>1308.08</v>
      </c>
      <c r="T214" s="5">
        <v>335.58</v>
      </c>
      <c r="U214" s="5">
        <v>1119.08</v>
      </c>
      <c r="V214" s="5">
        <v>4617.9623000000001</v>
      </c>
      <c r="W214" s="5">
        <v>11944.021000000001</v>
      </c>
      <c r="X214" s="5">
        <v>15761.9638</v>
      </c>
      <c r="Y214" s="5">
        <v>8613.3737999999994</v>
      </c>
      <c r="Z214" s="5">
        <v>14474.621999999999</v>
      </c>
      <c r="AA214" s="5">
        <v>3562.13</v>
      </c>
      <c r="AB214" s="5">
        <v>36231.29</v>
      </c>
      <c r="AC214" s="5">
        <v>1332.8</v>
      </c>
      <c r="AD214" s="5">
        <v>329.56020000000001</v>
      </c>
    </row>
    <row r="215" spans="5:30" ht="15">
      <c r="E215" s="9">
        <v>40602</v>
      </c>
      <c r="F215" s="5">
        <v>197.99</v>
      </c>
      <c r="G215" s="5">
        <v>468.0009</v>
      </c>
      <c r="H215" s="5">
        <v>688.11440000000005</v>
      </c>
      <c r="I215" s="5">
        <v>1647.12</v>
      </c>
      <c r="J215" s="5">
        <v>396.7396</v>
      </c>
      <c r="K215" s="5">
        <v>1732.9</v>
      </c>
      <c r="L215" s="5">
        <v>2079.38</v>
      </c>
      <c r="M215" s="5">
        <v>2100.71</v>
      </c>
      <c r="N215" s="5">
        <v>2046.58</v>
      </c>
      <c r="O215" s="5">
        <v>2104.83</v>
      </c>
      <c r="P215" s="5">
        <v>1254.1300000000001</v>
      </c>
      <c r="Q215" s="5">
        <v>521.44000000000005</v>
      </c>
      <c r="R215" s="5">
        <v>1327.22</v>
      </c>
      <c r="S215" s="5">
        <v>1351.65</v>
      </c>
      <c r="T215" s="5">
        <v>344.82</v>
      </c>
      <c r="U215" s="5">
        <v>1107.77</v>
      </c>
      <c r="V215" s="5">
        <v>4659.2302</v>
      </c>
      <c r="W215" s="5">
        <v>12106.896000000001</v>
      </c>
      <c r="X215" s="5">
        <v>15966.969300000001</v>
      </c>
      <c r="Y215" s="5">
        <v>8691.5589999999993</v>
      </c>
      <c r="Z215" s="5">
        <v>14659.216200000001</v>
      </c>
      <c r="AA215" s="5">
        <v>3722.32</v>
      </c>
      <c r="AB215" s="5">
        <v>37825.35</v>
      </c>
      <c r="AC215" s="5">
        <v>1411.47</v>
      </c>
      <c r="AD215" s="5">
        <v>333.90350000000001</v>
      </c>
    </row>
    <row r="216" spans="5:30" ht="15">
      <c r="E216" s="9">
        <v>40633</v>
      </c>
      <c r="F216" s="5">
        <v>198.03</v>
      </c>
      <c r="G216" s="5">
        <v>467.7527</v>
      </c>
      <c r="H216" s="5">
        <v>687.69899999999996</v>
      </c>
      <c r="I216" s="5">
        <v>1648.03</v>
      </c>
      <c r="J216" s="5">
        <v>396.43889999999999</v>
      </c>
      <c r="K216" s="5">
        <v>1737.73</v>
      </c>
      <c r="L216" s="5">
        <v>2076.6</v>
      </c>
      <c r="M216" s="5">
        <v>2098.77</v>
      </c>
      <c r="N216" s="5">
        <v>2042.56</v>
      </c>
      <c r="O216" s="5">
        <v>2102.36</v>
      </c>
      <c r="P216" s="5">
        <v>1258.19</v>
      </c>
      <c r="Q216" s="5">
        <v>528.05999999999995</v>
      </c>
      <c r="R216" s="5">
        <v>1325.83</v>
      </c>
      <c r="S216" s="5">
        <v>1334.93</v>
      </c>
      <c r="T216" s="5">
        <v>343.64</v>
      </c>
      <c r="U216" s="5">
        <v>1170.8699999999999</v>
      </c>
      <c r="V216" s="5">
        <v>4656.0150000000003</v>
      </c>
      <c r="W216" s="5">
        <v>12149.911099999999</v>
      </c>
      <c r="X216" s="5">
        <v>16046.6957</v>
      </c>
      <c r="Y216" s="5">
        <v>8716.3889999999992</v>
      </c>
      <c r="Z216" s="5">
        <v>14499.349700000001</v>
      </c>
      <c r="AA216" s="5">
        <v>3671.46</v>
      </c>
      <c r="AB216" s="5">
        <v>38471.21</v>
      </c>
      <c r="AC216" s="5">
        <v>1432.3</v>
      </c>
      <c r="AD216" s="5">
        <v>340.7971</v>
      </c>
    </row>
    <row r="217" spans="5:30" ht="15">
      <c r="E217" s="9">
        <v>40662</v>
      </c>
      <c r="F217" s="5">
        <v>198.09</v>
      </c>
      <c r="G217" s="5">
        <v>469.7722</v>
      </c>
      <c r="H217" s="5">
        <v>695.55830000000003</v>
      </c>
      <c r="I217" s="5">
        <v>1668.95</v>
      </c>
      <c r="J217" s="5">
        <v>400.03320000000002</v>
      </c>
      <c r="K217" s="5">
        <v>1756.8</v>
      </c>
      <c r="L217" s="5">
        <v>2112.31</v>
      </c>
      <c r="M217" s="5">
        <v>2133.9299999999998</v>
      </c>
      <c r="N217" s="5">
        <v>2078.5700000000002</v>
      </c>
      <c r="O217" s="5">
        <v>2139.9</v>
      </c>
      <c r="P217" s="5">
        <v>1277.69</v>
      </c>
      <c r="Q217" s="5">
        <v>535.41</v>
      </c>
      <c r="R217" s="5">
        <v>1363.61</v>
      </c>
      <c r="S217" s="5">
        <v>1388.62</v>
      </c>
      <c r="T217" s="5">
        <v>356.9</v>
      </c>
      <c r="U217" s="5">
        <v>1204.03</v>
      </c>
      <c r="V217" s="5">
        <v>4707.8611000000001</v>
      </c>
      <c r="W217" s="5">
        <v>12294.987499999999</v>
      </c>
      <c r="X217" s="5">
        <v>16261.042100000001</v>
      </c>
      <c r="Y217" s="5">
        <v>8788.4336000000003</v>
      </c>
      <c r="Z217" s="5">
        <v>14843.1054</v>
      </c>
      <c r="AA217" s="5">
        <v>3847.71</v>
      </c>
      <c r="AB217" s="5">
        <v>38946.449999999997</v>
      </c>
      <c r="AC217" s="5">
        <v>1563.7</v>
      </c>
      <c r="AD217" s="5">
        <v>352.59910000000002</v>
      </c>
    </row>
    <row r="218" spans="5:30" ht="15">
      <c r="E218" s="9">
        <v>40694</v>
      </c>
      <c r="F218" s="5">
        <v>198.11</v>
      </c>
      <c r="G218" s="5">
        <v>471.32780000000002</v>
      </c>
      <c r="H218" s="5">
        <v>706.1395</v>
      </c>
      <c r="I218" s="5">
        <v>1690.73</v>
      </c>
      <c r="J218" s="5">
        <v>403.91730000000001</v>
      </c>
      <c r="K218" s="5">
        <v>1775.67</v>
      </c>
      <c r="L218" s="5">
        <v>2142.8200000000002</v>
      </c>
      <c r="M218" s="5">
        <v>2168.4</v>
      </c>
      <c r="N218" s="5">
        <v>2098.9899999999998</v>
      </c>
      <c r="O218" s="5">
        <v>2186.33</v>
      </c>
      <c r="P218" s="5">
        <v>1283.92</v>
      </c>
      <c r="Q218" s="5">
        <v>543.26</v>
      </c>
      <c r="R218" s="5">
        <v>1345.2</v>
      </c>
      <c r="S218" s="5">
        <v>1354.61</v>
      </c>
      <c r="T218" s="5">
        <v>347.9</v>
      </c>
      <c r="U218" s="5">
        <v>1167.97</v>
      </c>
      <c r="V218" s="5">
        <v>4661.3624</v>
      </c>
      <c r="W218" s="5">
        <v>12237.802299999999</v>
      </c>
      <c r="X218" s="5">
        <v>16052.839400000001</v>
      </c>
      <c r="Y218" s="5">
        <v>8797.1900999999998</v>
      </c>
      <c r="Z218" s="5">
        <v>14501.493200000001</v>
      </c>
      <c r="AA218" s="5">
        <v>3883.34</v>
      </c>
      <c r="AB218" s="5">
        <v>37995.33</v>
      </c>
      <c r="AC218" s="5">
        <v>1535.8</v>
      </c>
      <c r="AD218" s="5">
        <v>334.76389999999998</v>
      </c>
    </row>
    <row r="219" spans="5:30" ht="15">
      <c r="E219" s="9">
        <v>40724</v>
      </c>
      <c r="F219" s="5">
        <v>198.13</v>
      </c>
      <c r="G219" s="5">
        <v>471.45960000000002</v>
      </c>
      <c r="H219" s="5">
        <v>703.7713</v>
      </c>
      <c r="I219" s="5">
        <v>1685.78</v>
      </c>
      <c r="J219" s="5">
        <v>403.11520000000002</v>
      </c>
      <c r="K219" s="5">
        <v>1777.33</v>
      </c>
      <c r="L219" s="5">
        <v>2124.04</v>
      </c>
      <c r="M219" s="5">
        <v>2150.14</v>
      </c>
      <c r="N219" s="5">
        <v>2081.12</v>
      </c>
      <c r="O219" s="5">
        <v>2161.84</v>
      </c>
      <c r="P219" s="5">
        <v>1271.42</v>
      </c>
      <c r="Q219" s="5">
        <v>549.35</v>
      </c>
      <c r="R219" s="5">
        <v>1320.64</v>
      </c>
      <c r="S219" s="5">
        <v>1331.18</v>
      </c>
      <c r="T219" s="5">
        <v>341.82</v>
      </c>
      <c r="U219" s="5">
        <v>1146.22</v>
      </c>
      <c r="V219" s="5">
        <v>4600.8978999999999</v>
      </c>
      <c r="W219" s="5">
        <v>12112.5895</v>
      </c>
      <c r="X219" s="5">
        <v>15850.615599999999</v>
      </c>
      <c r="Y219" s="5">
        <v>8775.1352999999999</v>
      </c>
      <c r="Z219" s="5">
        <v>14249.044</v>
      </c>
      <c r="AA219" s="5">
        <v>3776.69</v>
      </c>
      <c r="AB219" s="5">
        <v>37208.89</v>
      </c>
      <c r="AC219" s="5">
        <v>1500.35</v>
      </c>
      <c r="AD219" s="5">
        <v>317.87759999999997</v>
      </c>
    </row>
    <row r="220" spans="5:30" ht="15">
      <c r="E220" s="9">
        <v>40753</v>
      </c>
      <c r="F220" s="5">
        <v>198.12</v>
      </c>
      <c r="G220" s="5">
        <v>472.70229999999998</v>
      </c>
      <c r="H220" s="5">
        <v>716.39110000000005</v>
      </c>
      <c r="I220" s="5">
        <v>1712.53</v>
      </c>
      <c r="J220" s="5">
        <v>407.64589999999998</v>
      </c>
      <c r="K220" s="5">
        <v>1793.85</v>
      </c>
      <c r="L220" s="5">
        <v>2177.6</v>
      </c>
      <c r="M220" s="5">
        <v>2215.69</v>
      </c>
      <c r="N220" s="5">
        <v>2111.87</v>
      </c>
      <c r="O220" s="5">
        <v>2235.5300000000002</v>
      </c>
      <c r="P220" s="5">
        <v>1286.1600000000001</v>
      </c>
      <c r="Q220" s="5">
        <v>560.04</v>
      </c>
      <c r="R220" s="5">
        <v>1292.28</v>
      </c>
      <c r="S220" s="5">
        <v>1306.05</v>
      </c>
      <c r="T220" s="5">
        <v>335.9</v>
      </c>
      <c r="U220" s="5">
        <v>1137.73</v>
      </c>
      <c r="V220" s="5">
        <v>4616.5456000000004</v>
      </c>
      <c r="W220" s="5">
        <v>12089.269</v>
      </c>
      <c r="X220" s="5">
        <v>15798.759400000001</v>
      </c>
      <c r="Y220" s="5">
        <v>8774.8413999999993</v>
      </c>
      <c r="Z220" s="5">
        <v>14484.9593</v>
      </c>
      <c r="AA220" s="5">
        <v>3788.86</v>
      </c>
      <c r="AB220" s="5">
        <v>36221.120000000003</v>
      </c>
      <c r="AC220" s="5">
        <v>1627.88</v>
      </c>
      <c r="AD220" s="5">
        <v>327.29239999999999</v>
      </c>
    </row>
    <row r="221" spans="5:30" ht="15">
      <c r="E221" s="9">
        <v>40786</v>
      </c>
      <c r="F221" s="5">
        <v>198.19</v>
      </c>
      <c r="G221" s="5">
        <v>474.2953</v>
      </c>
      <c r="H221" s="5">
        <v>736.06200000000001</v>
      </c>
      <c r="I221" s="5">
        <v>1737.55</v>
      </c>
      <c r="J221" s="5">
        <v>412.62099999999998</v>
      </c>
      <c r="K221" s="5">
        <v>1816.19</v>
      </c>
      <c r="L221" s="5">
        <v>2179.02</v>
      </c>
      <c r="M221" s="5">
        <v>2231.88</v>
      </c>
      <c r="N221" s="5">
        <v>2083.08</v>
      </c>
      <c r="O221" s="5">
        <v>2269.81</v>
      </c>
      <c r="P221" s="5">
        <v>1234.68</v>
      </c>
      <c r="Q221" s="5">
        <v>563.02</v>
      </c>
      <c r="R221" s="5">
        <v>1218.8900000000001</v>
      </c>
      <c r="S221" s="5">
        <v>1211.22</v>
      </c>
      <c r="T221" s="5">
        <v>310.62</v>
      </c>
      <c r="U221" s="5">
        <v>1033.1500000000001</v>
      </c>
      <c r="V221" s="5">
        <v>4503.5981000000002</v>
      </c>
      <c r="W221" s="5">
        <v>11639.482</v>
      </c>
      <c r="X221" s="5">
        <v>15026.5375</v>
      </c>
      <c r="Y221" s="5">
        <v>8584.3916000000008</v>
      </c>
      <c r="Z221" s="5">
        <v>14410.909799999999</v>
      </c>
      <c r="AA221" s="5">
        <v>3605.03</v>
      </c>
      <c r="AB221" s="5">
        <v>32422.33</v>
      </c>
      <c r="AC221" s="5">
        <v>1825.72</v>
      </c>
      <c r="AD221" s="5">
        <v>330.5607</v>
      </c>
    </row>
    <row r="222" spans="5:30" ht="15">
      <c r="E222" s="9">
        <v>40816</v>
      </c>
      <c r="F222" s="5">
        <v>198.19</v>
      </c>
      <c r="G222" s="5">
        <v>473.73520000000002</v>
      </c>
      <c r="H222" s="5">
        <v>749.02200000000005</v>
      </c>
      <c r="I222" s="5">
        <v>1750.19</v>
      </c>
      <c r="J222" s="5">
        <v>415.0849</v>
      </c>
      <c r="K222" s="5">
        <v>1819.29</v>
      </c>
      <c r="L222" s="5">
        <v>2184.58</v>
      </c>
      <c r="M222" s="5">
        <v>2254.52</v>
      </c>
      <c r="N222" s="5">
        <v>2052.5500000000002</v>
      </c>
      <c r="O222" s="5">
        <v>2314.8200000000002</v>
      </c>
      <c r="P222" s="5">
        <v>1194.32</v>
      </c>
      <c r="Q222" s="5">
        <v>539.37</v>
      </c>
      <c r="R222" s="5">
        <v>1131.42</v>
      </c>
      <c r="S222" s="5">
        <v>1104.06</v>
      </c>
      <c r="T222" s="5">
        <v>280.64</v>
      </c>
      <c r="U222" s="5">
        <v>880.43</v>
      </c>
      <c r="V222" s="5">
        <v>4401.1941999999999</v>
      </c>
      <c r="W222" s="5">
        <v>11180.7089</v>
      </c>
      <c r="X222" s="5">
        <v>14119.6338</v>
      </c>
      <c r="Y222" s="5">
        <v>8440.1893</v>
      </c>
      <c r="Z222" s="5">
        <v>14231.7312</v>
      </c>
      <c r="AA222" s="5">
        <v>3228.59</v>
      </c>
      <c r="AB222" s="5">
        <v>28966.43</v>
      </c>
      <c r="AC222" s="5">
        <v>1623.97</v>
      </c>
      <c r="AD222" s="5">
        <v>281.8526</v>
      </c>
    </row>
    <row r="223" spans="5:30" ht="15">
      <c r="E223" s="9">
        <v>40847</v>
      </c>
      <c r="F223" s="5">
        <v>198.2</v>
      </c>
      <c r="G223" s="5">
        <v>474.10430000000002</v>
      </c>
      <c r="H223" s="5">
        <v>742.95939999999996</v>
      </c>
      <c r="I223" s="5">
        <v>1752.07</v>
      </c>
      <c r="J223" s="5">
        <v>414.6773</v>
      </c>
      <c r="K223" s="5">
        <v>1819.24</v>
      </c>
      <c r="L223" s="5">
        <v>2223.63</v>
      </c>
      <c r="M223" s="5">
        <v>2290.46</v>
      </c>
      <c r="N223" s="5">
        <v>2102.5</v>
      </c>
      <c r="O223" s="5">
        <v>2333.0700000000002</v>
      </c>
      <c r="P223" s="5">
        <v>1265.8900000000001</v>
      </c>
      <c r="Q223" s="5">
        <v>563.69000000000005</v>
      </c>
      <c r="R223" s="5">
        <v>1253.3</v>
      </c>
      <c r="S223" s="5">
        <v>1217.3</v>
      </c>
      <c r="T223" s="5">
        <v>310.41000000000003</v>
      </c>
      <c r="U223" s="5">
        <v>995</v>
      </c>
      <c r="V223" s="5">
        <v>4434.5045</v>
      </c>
      <c r="W223" s="5">
        <v>11519.001700000001</v>
      </c>
      <c r="X223" s="5">
        <v>14812.638800000001</v>
      </c>
      <c r="Y223" s="5">
        <v>8547.0722000000005</v>
      </c>
      <c r="Z223" s="5">
        <v>14100.214</v>
      </c>
      <c r="AA223" s="5">
        <v>3653.98</v>
      </c>
      <c r="AB223" s="5">
        <v>31913.29</v>
      </c>
      <c r="AC223" s="5">
        <v>1714.85</v>
      </c>
      <c r="AD223" s="5">
        <v>300.50659999999999</v>
      </c>
    </row>
    <row r="224" spans="5:30" ht="15">
      <c r="E224" s="9">
        <v>40877</v>
      </c>
      <c r="F224" s="5">
        <v>198.21</v>
      </c>
      <c r="G224" s="5">
        <v>474.33199999999999</v>
      </c>
      <c r="H224" s="5">
        <v>748.32809999999995</v>
      </c>
      <c r="I224" s="5">
        <v>1750.55</v>
      </c>
      <c r="J224" s="5">
        <v>412.42689999999999</v>
      </c>
      <c r="K224" s="5">
        <v>1822.55</v>
      </c>
      <c r="L224" s="5">
        <v>2180.0500000000002</v>
      </c>
      <c r="M224" s="5">
        <v>2252.8000000000002</v>
      </c>
      <c r="N224" s="5">
        <v>2039.14</v>
      </c>
      <c r="O224" s="5">
        <v>2325.41</v>
      </c>
      <c r="P224" s="5">
        <v>1238.5999999999999</v>
      </c>
      <c r="Q224" s="5">
        <v>560.39</v>
      </c>
      <c r="R224" s="5">
        <v>1246.96</v>
      </c>
      <c r="S224" s="5">
        <v>1184.5999999999999</v>
      </c>
      <c r="T224" s="5">
        <v>300.45</v>
      </c>
      <c r="U224" s="5">
        <v>928.32</v>
      </c>
      <c r="V224" s="5">
        <v>4397.2160000000003</v>
      </c>
      <c r="W224" s="5">
        <v>11382.528899999999</v>
      </c>
      <c r="X224" s="5">
        <v>14513.199000000001</v>
      </c>
      <c r="Y224" s="5">
        <v>8496.2237000000005</v>
      </c>
      <c r="Z224" s="5">
        <v>14008.1811</v>
      </c>
      <c r="AA224" s="5">
        <v>3522.02</v>
      </c>
      <c r="AB224" s="5">
        <v>31478.47</v>
      </c>
      <c r="AC224" s="5">
        <v>1746.38</v>
      </c>
      <c r="AD224" s="5">
        <v>293.8383</v>
      </c>
    </row>
    <row r="225" spans="5:30" ht="15">
      <c r="E225" s="9">
        <v>40907</v>
      </c>
      <c r="F225" s="5">
        <v>198.22</v>
      </c>
      <c r="G225" s="5">
        <v>474.56119999999999</v>
      </c>
      <c r="H225" s="5">
        <v>755.22069999999997</v>
      </c>
      <c r="I225" s="5">
        <v>1769.79</v>
      </c>
      <c r="J225" s="5">
        <v>418.69979999999998</v>
      </c>
      <c r="K225" s="5">
        <v>1835.33</v>
      </c>
      <c r="L225" s="5">
        <v>2226.65</v>
      </c>
      <c r="M225" s="5">
        <v>2305.98</v>
      </c>
      <c r="N225" s="5">
        <v>2077.64</v>
      </c>
      <c r="O225" s="5">
        <v>2366.77</v>
      </c>
      <c r="P225" s="5">
        <v>1271.5</v>
      </c>
      <c r="Q225" s="5">
        <v>567</v>
      </c>
      <c r="R225" s="5">
        <v>1257.6099999999999</v>
      </c>
      <c r="S225" s="5">
        <v>1182.5899999999999</v>
      </c>
      <c r="T225" s="5">
        <v>299.51</v>
      </c>
      <c r="U225" s="5">
        <v>916.39</v>
      </c>
      <c r="V225" s="5">
        <v>4375.6292999999996</v>
      </c>
      <c r="W225" s="5">
        <v>11358.5941</v>
      </c>
      <c r="X225" s="5">
        <v>14380.5085</v>
      </c>
      <c r="Y225" s="5">
        <v>8528.4282999999996</v>
      </c>
      <c r="Z225" s="5">
        <v>13973.4763</v>
      </c>
      <c r="AA225" s="5">
        <v>3682.29</v>
      </c>
      <c r="AB225" s="5">
        <v>31855.599999999999</v>
      </c>
      <c r="AC225" s="5">
        <v>1563.7</v>
      </c>
      <c r="AD225" s="5">
        <v>282.82549999999998</v>
      </c>
    </row>
    <row r="226" spans="5:30" ht="15">
      <c r="E226" s="9">
        <v>40939</v>
      </c>
      <c r="F226" s="5">
        <v>198.22</v>
      </c>
      <c r="G226" s="5">
        <v>475.1157</v>
      </c>
      <c r="H226" s="5">
        <v>758.37339999999995</v>
      </c>
      <c r="I226" s="5">
        <v>1785.33</v>
      </c>
      <c r="J226" s="5">
        <v>422.83710000000002</v>
      </c>
      <c r="K226" s="5">
        <v>1842.81</v>
      </c>
      <c r="L226" s="5">
        <v>2275.9499999999998</v>
      </c>
      <c r="M226" s="5">
        <v>2342.4499999999998</v>
      </c>
      <c r="N226" s="5">
        <v>2153.61</v>
      </c>
      <c r="O226" s="5">
        <v>2394.0700000000002</v>
      </c>
      <c r="P226" s="5">
        <v>1310.0999999999999</v>
      </c>
      <c r="Q226" s="5">
        <v>576.99</v>
      </c>
      <c r="R226" s="5">
        <v>1312.41</v>
      </c>
      <c r="S226" s="5">
        <v>1240.8900000000001</v>
      </c>
      <c r="T226" s="5">
        <v>316.64999999999998</v>
      </c>
      <c r="U226" s="5">
        <v>1019.39</v>
      </c>
      <c r="V226" s="5">
        <v>4444.5266000000001</v>
      </c>
      <c r="W226" s="5">
        <v>11646.5118</v>
      </c>
      <c r="X226" s="5">
        <v>14938.820900000001</v>
      </c>
      <c r="Y226" s="5">
        <v>8696.7656000000006</v>
      </c>
      <c r="Z226" s="5">
        <v>14150.578100000001</v>
      </c>
      <c r="AA226" s="5">
        <v>3919.93</v>
      </c>
      <c r="AB226" s="5">
        <v>34920.29</v>
      </c>
      <c r="AC226" s="5">
        <v>1737.6</v>
      </c>
      <c r="AD226" s="5">
        <v>289.81939999999997</v>
      </c>
    </row>
    <row r="227" spans="5:30" ht="15">
      <c r="E227" s="9">
        <v>40968</v>
      </c>
      <c r="F227" s="5">
        <v>198.22</v>
      </c>
      <c r="G227" s="5">
        <v>474.43709999999999</v>
      </c>
      <c r="H227" s="5">
        <v>752.98400000000004</v>
      </c>
      <c r="I227" s="5">
        <v>1784.92</v>
      </c>
      <c r="J227" s="5">
        <v>424.3657</v>
      </c>
      <c r="K227" s="5">
        <v>1844.51</v>
      </c>
      <c r="L227" s="5">
        <v>2295.11</v>
      </c>
      <c r="M227" s="5">
        <v>2358.5500000000002</v>
      </c>
      <c r="N227" s="5">
        <v>2180.11</v>
      </c>
      <c r="O227" s="5">
        <v>2404.92</v>
      </c>
      <c r="P227" s="5">
        <v>1341.22</v>
      </c>
      <c r="Q227" s="5">
        <v>594.02</v>
      </c>
      <c r="R227" s="5">
        <v>1365.68</v>
      </c>
      <c r="S227" s="5">
        <v>1298.72</v>
      </c>
      <c r="T227" s="5">
        <v>331.93</v>
      </c>
      <c r="U227" s="5">
        <v>1079.44</v>
      </c>
      <c r="V227" s="5">
        <v>4503.1985999999997</v>
      </c>
      <c r="W227" s="5">
        <v>11863.580099999999</v>
      </c>
      <c r="X227" s="5">
        <v>15371.066199999999</v>
      </c>
      <c r="Y227" s="5">
        <v>8833.8919999999998</v>
      </c>
      <c r="Z227" s="5">
        <v>14262.293900000001</v>
      </c>
      <c r="AA227" s="5">
        <v>3892.19</v>
      </c>
      <c r="AB227" s="5">
        <v>35877.629999999997</v>
      </c>
      <c r="AC227" s="5">
        <v>1696.85</v>
      </c>
      <c r="AD227" s="5">
        <v>297.64069999999998</v>
      </c>
    </row>
    <row r="228" spans="5:30" ht="15">
      <c r="E228" s="9">
        <v>40998</v>
      </c>
      <c r="F228" s="5">
        <v>198.24</v>
      </c>
      <c r="G228" s="5">
        <v>474.13150000000002</v>
      </c>
      <c r="H228" s="5">
        <v>745.64729999999997</v>
      </c>
      <c r="I228" s="5">
        <v>1775.14</v>
      </c>
      <c r="J228" s="5">
        <v>423.7516</v>
      </c>
      <c r="K228" s="5">
        <v>1845.71</v>
      </c>
      <c r="L228" s="5">
        <v>2272.94</v>
      </c>
      <c r="M228" s="5">
        <v>2323.46</v>
      </c>
      <c r="N228" s="5">
        <v>2182.9699999999998</v>
      </c>
      <c r="O228" s="5">
        <v>2365.0100000000002</v>
      </c>
      <c r="P228" s="5">
        <v>1339.35</v>
      </c>
      <c r="Q228" s="5">
        <v>594.58000000000004</v>
      </c>
      <c r="R228" s="5">
        <v>1408.47</v>
      </c>
      <c r="S228" s="5">
        <v>1312.01</v>
      </c>
      <c r="T228" s="5">
        <v>333.3</v>
      </c>
      <c r="U228" s="5">
        <v>1041.45</v>
      </c>
      <c r="V228" s="5">
        <v>4509.3872000000001</v>
      </c>
      <c r="W228" s="5">
        <v>11910.4274</v>
      </c>
      <c r="X228" s="5">
        <v>15371.8802</v>
      </c>
      <c r="Y228" s="5">
        <v>8879.4408000000003</v>
      </c>
      <c r="Z228" s="5">
        <v>14074.2376</v>
      </c>
      <c r="AA228" s="5">
        <v>4063.87</v>
      </c>
      <c r="AB228" s="5">
        <v>37651.730000000003</v>
      </c>
      <c r="AC228" s="5">
        <v>1668.35</v>
      </c>
      <c r="AD228" s="5">
        <v>285.32870000000003</v>
      </c>
    </row>
    <row r="229" spans="5:30" ht="15">
      <c r="E229" s="9">
        <v>41029</v>
      </c>
      <c r="F229" s="5">
        <v>198.25</v>
      </c>
      <c r="G229" s="5">
        <v>475.13679999999999</v>
      </c>
      <c r="H229" s="5">
        <v>756.2645</v>
      </c>
      <c r="I229" s="5">
        <v>1794.82</v>
      </c>
      <c r="J229" s="5">
        <v>426.39249999999998</v>
      </c>
      <c r="K229" s="5">
        <v>1857.68</v>
      </c>
      <c r="L229" s="5">
        <v>2304.67</v>
      </c>
      <c r="M229" s="5">
        <v>2358.3200000000002</v>
      </c>
      <c r="N229" s="5">
        <v>2205.4899999999998</v>
      </c>
      <c r="O229" s="5">
        <v>2412.1999999999998</v>
      </c>
      <c r="P229" s="5">
        <v>1353.37</v>
      </c>
      <c r="Q229" s="5">
        <v>605.02</v>
      </c>
      <c r="R229" s="5">
        <v>1397.91</v>
      </c>
      <c r="S229" s="5">
        <v>1293.99</v>
      </c>
      <c r="T229" s="5">
        <v>328.67</v>
      </c>
      <c r="U229" s="5">
        <v>1026.02</v>
      </c>
      <c r="V229" s="5">
        <v>4496.6950999999999</v>
      </c>
      <c r="W229" s="5">
        <v>11870.8966</v>
      </c>
      <c r="X229" s="5">
        <v>15246.016799999999</v>
      </c>
      <c r="Y229" s="5">
        <v>8905.2674000000006</v>
      </c>
      <c r="Z229" s="5">
        <v>13992.7004</v>
      </c>
      <c r="AA229" s="5">
        <v>4175.8100000000004</v>
      </c>
      <c r="AB229" s="5">
        <v>37112.78</v>
      </c>
      <c r="AC229" s="5">
        <v>1664.75</v>
      </c>
      <c r="AD229" s="5">
        <v>284.12110000000001</v>
      </c>
    </row>
    <row r="230" spans="5:30" ht="15">
      <c r="E230" s="9">
        <v>41060</v>
      </c>
      <c r="F230" s="5">
        <v>198.29</v>
      </c>
      <c r="G230" s="5">
        <v>475.37380000000002</v>
      </c>
      <c r="H230" s="5">
        <v>768.95920000000001</v>
      </c>
      <c r="I230" s="5">
        <v>1811.06</v>
      </c>
      <c r="J230" s="5">
        <v>430.83109999999999</v>
      </c>
      <c r="K230" s="5">
        <v>1863.56</v>
      </c>
      <c r="L230" s="5">
        <v>2322.06</v>
      </c>
      <c r="M230" s="5">
        <v>2381.88</v>
      </c>
      <c r="N230" s="5">
        <v>2205.0300000000002</v>
      </c>
      <c r="O230" s="5">
        <v>2457.9</v>
      </c>
      <c r="P230" s="5">
        <v>1335.7</v>
      </c>
      <c r="Q230" s="5">
        <v>588.25</v>
      </c>
      <c r="R230" s="5">
        <v>1310.33</v>
      </c>
      <c r="S230" s="5">
        <v>1177.6400000000001</v>
      </c>
      <c r="T230" s="5">
        <v>297.98</v>
      </c>
      <c r="U230" s="5">
        <v>906.3</v>
      </c>
      <c r="V230" s="5">
        <v>4443.1806999999999</v>
      </c>
      <c r="W230" s="5">
        <v>11594.296200000001</v>
      </c>
      <c r="X230" s="5">
        <v>14527.506799999999</v>
      </c>
      <c r="Y230" s="5">
        <v>8811.3685000000005</v>
      </c>
      <c r="Z230" s="5">
        <v>14049.182500000001</v>
      </c>
      <c r="AA230" s="5">
        <v>4012.72</v>
      </c>
      <c r="AB230" s="5">
        <v>34840.17</v>
      </c>
      <c r="AC230" s="5">
        <v>1560.42</v>
      </c>
      <c r="AD230" s="5">
        <v>258.17520000000002</v>
      </c>
    </row>
    <row r="231" spans="5:30" ht="15">
      <c r="E231" s="9">
        <v>41089</v>
      </c>
      <c r="F231" s="5">
        <v>198.3</v>
      </c>
      <c r="G231" s="5">
        <v>475.07479999999998</v>
      </c>
      <c r="H231" s="5">
        <v>766.41160000000002</v>
      </c>
      <c r="I231" s="5">
        <v>1811.77</v>
      </c>
      <c r="J231" s="5">
        <v>430.12450000000001</v>
      </c>
      <c r="K231" s="5">
        <v>1865.72</v>
      </c>
      <c r="L231" s="5">
        <v>2330.3000000000002</v>
      </c>
      <c r="M231" s="5">
        <v>2385.6</v>
      </c>
      <c r="N231" s="5">
        <v>2225.19</v>
      </c>
      <c r="O231" s="5">
        <v>2451.5</v>
      </c>
      <c r="P231" s="5">
        <v>1363.9</v>
      </c>
      <c r="Q231" s="5">
        <v>609.24</v>
      </c>
      <c r="R231" s="5">
        <v>1362.16</v>
      </c>
      <c r="S231" s="5">
        <v>1235.72</v>
      </c>
      <c r="T231" s="5">
        <v>312.11</v>
      </c>
      <c r="U231" s="5">
        <v>937.35</v>
      </c>
      <c r="V231" s="5">
        <v>4425.1382999999996</v>
      </c>
      <c r="W231" s="5">
        <v>11615.0216</v>
      </c>
      <c r="X231" s="5">
        <v>14661.4244</v>
      </c>
      <c r="Y231" s="5">
        <v>8889.1389999999992</v>
      </c>
      <c r="Z231" s="5">
        <v>13849.6605</v>
      </c>
      <c r="AA231" s="5">
        <v>4244.87</v>
      </c>
      <c r="AB231" s="5">
        <v>36841.61</v>
      </c>
      <c r="AC231" s="5">
        <v>1597.4</v>
      </c>
      <c r="AD231" s="5">
        <v>272.35669999999999</v>
      </c>
    </row>
    <row r="232" spans="5:30" ht="15">
      <c r="E232" s="9">
        <v>41121</v>
      </c>
      <c r="F232" s="5">
        <v>198.33</v>
      </c>
      <c r="G232" s="5">
        <v>476.19880000000001</v>
      </c>
      <c r="H232" s="5">
        <v>773.96</v>
      </c>
      <c r="I232" s="5">
        <v>1836.76</v>
      </c>
      <c r="J232" s="5">
        <v>435.95339999999999</v>
      </c>
      <c r="K232" s="5">
        <v>1880.71</v>
      </c>
      <c r="L232" s="5">
        <v>2397.35</v>
      </c>
      <c r="M232" s="5">
        <v>2455.94</v>
      </c>
      <c r="N232" s="5">
        <v>2284.63</v>
      </c>
      <c r="O232" s="5">
        <v>2527.87</v>
      </c>
      <c r="P232" s="5">
        <v>1389.85</v>
      </c>
      <c r="Q232" s="5">
        <v>633.63</v>
      </c>
      <c r="R232" s="5">
        <v>1379.32</v>
      </c>
      <c r="S232" s="5">
        <v>1250.57</v>
      </c>
      <c r="T232" s="5">
        <v>316.02</v>
      </c>
      <c r="U232" s="5">
        <v>952.49</v>
      </c>
      <c r="V232" s="5">
        <v>4465.0783000000001</v>
      </c>
      <c r="W232" s="5">
        <v>11669.1988</v>
      </c>
      <c r="X232" s="5">
        <v>14701.795899999999</v>
      </c>
      <c r="Y232" s="5">
        <v>8995.9539999999997</v>
      </c>
      <c r="Z232" s="5">
        <v>14127.8858</v>
      </c>
      <c r="AA232" s="5">
        <v>4345.05</v>
      </c>
      <c r="AB232" s="5">
        <v>36532.97</v>
      </c>
      <c r="AC232" s="5">
        <v>1614.3</v>
      </c>
      <c r="AD232" s="5">
        <v>289.9744</v>
      </c>
    </row>
    <row r="233" spans="5:30" ht="15">
      <c r="E233" s="9">
        <v>41152</v>
      </c>
      <c r="F233" s="5">
        <v>198.36</v>
      </c>
      <c r="G233" s="5">
        <v>476.24059999999997</v>
      </c>
      <c r="H233" s="5">
        <v>773.03309999999999</v>
      </c>
      <c r="I233" s="5">
        <v>1837.96</v>
      </c>
      <c r="J233" s="5">
        <v>436.9889</v>
      </c>
      <c r="K233" s="5">
        <v>1882.83</v>
      </c>
      <c r="L233" s="5">
        <v>2402.6799999999998</v>
      </c>
      <c r="M233" s="5">
        <v>2451.83</v>
      </c>
      <c r="N233" s="5">
        <v>2307.4299999999998</v>
      </c>
      <c r="O233" s="5">
        <v>2527.09</v>
      </c>
      <c r="P233" s="5">
        <v>1406.12</v>
      </c>
      <c r="Q233" s="5">
        <v>640.98</v>
      </c>
      <c r="R233" s="5">
        <v>1406.58</v>
      </c>
      <c r="S233" s="5">
        <v>1279.21</v>
      </c>
      <c r="T233" s="5">
        <v>322.14</v>
      </c>
      <c r="U233" s="5">
        <v>947.33</v>
      </c>
      <c r="V233" s="5">
        <v>4494.549</v>
      </c>
      <c r="W233" s="5">
        <v>11801.7955</v>
      </c>
      <c r="X233" s="5">
        <v>14874.9617</v>
      </c>
      <c r="Y233" s="5">
        <v>9090.7000000000007</v>
      </c>
      <c r="Z233" s="5">
        <v>14095.6423</v>
      </c>
      <c r="AA233" s="5">
        <v>4356.42</v>
      </c>
      <c r="AB233" s="5">
        <v>37522.199999999997</v>
      </c>
      <c r="AC233" s="5">
        <v>1692.01</v>
      </c>
      <c r="AD233" s="5">
        <v>293.73930000000001</v>
      </c>
    </row>
    <row r="234" spans="5:30" ht="15">
      <c r="E234" s="9">
        <v>41180</v>
      </c>
      <c r="F234" s="5">
        <v>198.38</v>
      </c>
      <c r="G234" s="5">
        <v>476.29700000000003</v>
      </c>
      <c r="H234" s="5">
        <v>770.63490000000002</v>
      </c>
      <c r="I234" s="5">
        <v>1840.49</v>
      </c>
      <c r="J234" s="5">
        <v>438.72120000000001</v>
      </c>
      <c r="K234" s="5">
        <v>1886.74</v>
      </c>
      <c r="L234" s="5">
        <v>2419.5500000000002</v>
      </c>
      <c r="M234" s="5">
        <v>2463.36</v>
      </c>
      <c r="N234" s="5">
        <v>2337.6</v>
      </c>
      <c r="O234" s="5">
        <v>2530.6999999999998</v>
      </c>
      <c r="P234" s="5">
        <v>1425.69</v>
      </c>
      <c r="Q234" s="5">
        <v>650.41999999999996</v>
      </c>
      <c r="R234" s="5">
        <v>1440.67</v>
      </c>
      <c r="S234" s="5">
        <v>1311.5</v>
      </c>
      <c r="T234" s="5">
        <v>331.58</v>
      </c>
      <c r="U234" s="5">
        <v>1002.66</v>
      </c>
      <c r="V234" s="5">
        <v>4523.9377999999997</v>
      </c>
      <c r="W234" s="5">
        <v>11952.3032</v>
      </c>
      <c r="X234" s="5">
        <v>15166.7996</v>
      </c>
      <c r="Y234" s="5">
        <v>9210.0715999999993</v>
      </c>
      <c r="Z234" s="5">
        <v>14091.388800000001</v>
      </c>
      <c r="AA234" s="5">
        <v>4320.99</v>
      </c>
      <c r="AB234" s="5">
        <v>39318.21</v>
      </c>
      <c r="AC234" s="5">
        <v>1772.1</v>
      </c>
      <c r="AD234" s="5">
        <v>298.74919999999997</v>
      </c>
    </row>
    <row r="235" spans="5:30" ht="15">
      <c r="E235" s="9">
        <v>41213</v>
      </c>
      <c r="F235" s="5">
        <v>198.39</v>
      </c>
      <c r="G235" s="5">
        <v>476.0369</v>
      </c>
      <c r="H235" s="5">
        <v>769.40409999999997</v>
      </c>
      <c r="I235" s="5">
        <v>1844.11</v>
      </c>
      <c r="J235" s="5">
        <v>439.95940000000002</v>
      </c>
      <c r="K235" s="5">
        <v>1883.58</v>
      </c>
      <c r="L235" s="5">
        <v>2450.71</v>
      </c>
      <c r="M235" s="5">
        <v>2494.42</v>
      </c>
      <c r="N235" s="5">
        <v>2367</v>
      </c>
      <c r="O235" s="5">
        <v>2569.0100000000002</v>
      </c>
      <c r="P235" s="5">
        <v>1438.21</v>
      </c>
      <c r="Q235" s="5">
        <v>655.73</v>
      </c>
      <c r="R235" s="5">
        <v>1412.16</v>
      </c>
      <c r="S235" s="5">
        <v>1301.52</v>
      </c>
      <c r="T235" s="5">
        <v>329.07</v>
      </c>
      <c r="U235" s="5">
        <v>995.33</v>
      </c>
      <c r="V235" s="5">
        <v>4514.5221000000001</v>
      </c>
      <c r="W235" s="5">
        <v>12004.1345</v>
      </c>
      <c r="X235" s="5">
        <v>15129.0996</v>
      </c>
      <c r="Y235" s="5">
        <v>9269.759</v>
      </c>
      <c r="Z235" s="5">
        <v>13832.4846</v>
      </c>
      <c r="AA235" s="5">
        <v>4302.37</v>
      </c>
      <c r="AB235" s="5">
        <v>38166.14</v>
      </c>
      <c r="AC235" s="5">
        <v>1720.65</v>
      </c>
      <c r="AD235" s="5">
        <v>287.17899999999997</v>
      </c>
    </row>
    <row r="236" spans="5:30" ht="15">
      <c r="E236" s="9">
        <v>41243</v>
      </c>
      <c r="F236" s="5">
        <v>198.43</v>
      </c>
      <c r="G236" s="5">
        <v>476.43939999999998</v>
      </c>
      <c r="H236" s="5">
        <v>773.26819999999998</v>
      </c>
      <c r="I236" s="5">
        <v>1847.02</v>
      </c>
      <c r="J236" s="5">
        <v>442.17739999999998</v>
      </c>
      <c r="K236" s="5">
        <v>1880.34</v>
      </c>
      <c r="L236" s="5">
        <v>2446.81</v>
      </c>
      <c r="M236" s="5">
        <v>2483.4699999999998</v>
      </c>
      <c r="N236" s="5">
        <v>2376.52</v>
      </c>
      <c r="O236" s="5">
        <v>2559.4499999999998</v>
      </c>
      <c r="P236" s="5">
        <v>1449.72</v>
      </c>
      <c r="Q236" s="5">
        <v>665.91</v>
      </c>
      <c r="R236" s="5">
        <v>1416.18</v>
      </c>
      <c r="S236" s="5">
        <v>1315.49</v>
      </c>
      <c r="T236" s="5">
        <v>332.64</v>
      </c>
      <c r="U236" s="5">
        <v>1007.02</v>
      </c>
      <c r="V236" s="5">
        <v>4534.9210999999996</v>
      </c>
      <c r="W236" s="5">
        <v>12126.9905</v>
      </c>
      <c r="X236" s="5">
        <v>15197.2258</v>
      </c>
      <c r="Y236" s="5">
        <v>9321.7603999999992</v>
      </c>
      <c r="Z236" s="5">
        <v>13823.5672</v>
      </c>
      <c r="AA236" s="5">
        <v>4275.74</v>
      </c>
      <c r="AB236" s="5">
        <v>37943.58</v>
      </c>
      <c r="AC236" s="5">
        <v>1714.8</v>
      </c>
      <c r="AD236" s="5">
        <v>287.3272</v>
      </c>
    </row>
    <row r="237" spans="5:30" ht="15">
      <c r="E237" s="9">
        <v>41274</v>
      </c>
      <c r="F237" s="5">
        <v>198.46</v>
      </c>
      <c r="G237" s="5">
        <v>476.596</v>
      </c>
      <c r="H237" s="5">
        <v>770.12199999999996</v>
      </c>
      <c r="I237" s="5">
        <v>1844.39</v>
      </c>
      <c r="J237" s="5">
        <v>442.6318</v>
      </c>
      <c r="K237" s="5">
        <v>1882.91</v>
      </c>
      <c r="L237" s="5">
        <v>2445.25</v>
      </c>
      <c r="M237" s="5">
        <v>2480.13</v>
      </c>
      <c r="N237" s="5">
        <v>2381.96</v>
      </c>
      <c r="O237" s="5">
        <v>2545.06</v>
      </c>
      <c r="P237" s="5">
        <v>1472.56</v>
      </c>
      <c r="Q237" s="5">
        <v>672.1</v>
      </c>
      <c r="R237" s="5">
        <v>1426.19</v>
      </c>
      <c r="S237" s="5">
        <v>1338.5</v>
      </c>
      <c r="T237" s="5">
        <v>339.75</v>
      </c>
      <c r="U237" s="5">
        <v>1055.2</v>
      </c>
      <c r="V237" s="5">
        <v>4586.0747000000001</v>
      </c>
      <c r="W237" s="5">
        <v>12367.9733</v>
      </c>
      <c r="X237" s="5">
        <v>15445.9293</v>
      </c>
      <c r="Y237" s="5">
        <v>9431.3611000000001</v>
      </c>
      <c r="Z237" s="5">
        <v>13964.716700000001</v>
      </c>
      <c r="AA237" s="5">
        <v>4408.71</v>
      </c>
      <c r="AB237" s="5">
        <v>38578.800000000003</v>
      </c>
      <c r="AC237" s="5">
        <v>1675.35</v>
      </c>
      <c r="AD237" s="5">
        <v>279.83620000000002</v>
      </c>
    </row>
    <row r="238" spans="5:30" ht="15">
      <c r="E238" s="9">
        <v>41305</v>
      </c>
      <c r="F238" s="5">
        <v>198.48</v>
      </c>
      <c r="G238" s="5">
        <v>476.66919999999999</v>
      </c>
      <c r="H238" s="5">
        <v>764.04949999999997</v>
      </c>
      <c r="I238" s="5">
        <v>1831.49</v>
      </c>
      <c r="J238" s="5">
        <v>440.20499999999998</v>
      </c>
      <c r="K238" s="5">
        <v>1873.49</v>
      </c>
      <c r="L238" s="5">
        <v>2423.5</v>
      </c>
      <c r="M238" s="5">
        <v>2448.75</v>
      </c>
      <c r="N238" s="5">
        <v>2377.5</v>
      </c>
      <c r="O238" s="5">
        <v>2518.77</v>
      </c>
      <c r="P238" s="5">
        <v>1492.3</v>
      </c>
      <c r="Q238" s="5">
        <v>662.54</v>
      </c>
      <c r="R238" s="5">
        <v>1498.11</v>
      </c>
      <c r="S238" s="5">
        <v>1405.47</v>
      </c>
      <c r="T238" s="5">
        <v>355.1</v>
      </c>
      <c r="U238" s="5">
        <v>1069.01</v>
      </c>
      <c r="V238" s="5">
        <v>4680.1813000000002</v>
      </c>
      <c r="W238" s="5">
        <v>12650.9735</v>
      </c>
      <c r="X238" s="5">
        <v>15961.294599999999</v>
      </c>
      <c r="Y238" s="5">
        <v>9598.2101000000002</v>
      </c>
      <c r="Z238" s="5">
        <v>14177.955</v>
      </c>
      <c r="AA238" s="5">
        <v>4597.8500000000004</v>
      </c>
      <c r="AB238" s="5">
        <v>41623.11</v>
      </c>
      <c r="AC238" s="5">
        <v>1663.65</v>
      </c>
      <c r="AD238" s="5">
        <v>286.5446</v>
      </c>
    </row>
    <row r="239" spans="5:30" ht="15">
      <c r="E239" s="9">
        <v>41333</v>
      </c>
      <c r="F239" s="5">
        <v>198.48</v>
      </c>
      <c r="G239" s="5">
        <v>477.0643</v>
      </c>
      <c r="H239" s="5">
        <v>767.96960000000001</v>
      </c>
      <c r="I239" s="5">
        <v>1840.67</v>
      </c>
      <c r="J239" s="5">
        <v>442.87419999999997</v>
      </c>
      <c r="K239" s="5">
        <v>1879.84</v>
      </c>
      <c r="L239" s="5">
        <v>2442.16</v>
      </c>
      <c r="M239" s="5">
        <v>2463.66</v>
      </c>
      <c r="N239" s="5">
        <v>2399.44</v>
      </c>
      <c r="O239" s="5">
        <v>2547.44</v>
      </c>
      <c r="P239" s="5">
        <v>1499.88</v>
      </c>
      <c r="Q239" s="5">
        <v>661.6</v>
      </c>
      <c r="R239" s="5">
        <v>1514.68</v>
      </c>
      <c r="S239" s="5">
        <v>1405.18</v>
      </c>
      <c r="T239" s="5">
        <v>354.43</v>
      </c>
      <c r="U239" s="5">
        <v>1054.6199999999999</v>
      </c>
      <c r="V239" s="5">
        <v>4692.4615000000003</v>
      </c>
      <c r="W239" s="5">
        <v>12697.0478</v>
      </c>
      <c r="X239" s="5">
        <v>16011.8104</v>
      </c>
      <c r="Y239" s="5">
        <v>9635.4428000000007</v>
      </c>
      <c r="Z239" s="5">
        <v>14081.665999999999</v>
      </c>
      <c r="AA239" s="5">
        <v>4657.0200000000004</v>
      </c>
      <c r="AB239" s="5">
        <v>41937.589999999997</v>
      </c>
      <c r="AC239" s="5">
        <v>1579.58</v>
      </c>
      <c r="AD239" s="5">
        <v>274.83409999999998</v>
      </c>
    </row>
    <row r="240" spans="5:30" ht="15">
      <c r="E240" s="9">
        <v>41362</v>
      </c>
      <c r="F240" s="5">
        <v>198.51</v>
      </c>
      <c r="G240" s="5">
        <v>477.15960000000001</v>
      </c>
      <c r="H240" s="5">
        <v>768.70540000000005</v>
      </c>
      <c r="I240" s="5">
        <v>1842.14</v>
      </c>
      <c r="J240" s="5">
        <v>445.16309999999999</v>
      </c>
      <c r="K240" s="5">
        <v>1882.03</v>
      </c>
      <c r="L240" s="5">
        <v>2442.63</v>
      </c>
      <c r="M240" s="5">
        <v>2463.09</v>
      </c>
      <c r="N240" s="5">
        <v>2402.87</v>
      </c>
      <c r="O240" s="5">
        <v>2543.94</v>
      </c>
      <c r="P240" s="5">
        <v>1515.15</v>
      </c>
      <c r="Q240" s="5">
        <v>656.62</v>
      </c>
      <c r="R240" s="5">
        <v>1569.19</v>
      </c>
      <c r="S240" s="5">
        <v>1434.51</v>
      </c>
      <c r="T240" s="5">
        <v>360.06</v>
      </c>
      <c r="U240" s="5">
        <v>1034.9000000000001</v>
      </c>
      <c r="V240" s="5">
        <v>4736.1889000000001</v>
      </c>
      <c r="W240" s="5">
        <v>12824.6302</v>
      </c>
      <c r="X240" s="5">
        <v>16207.5242</v>
      </c>
      <c r="Y240" s="5">
        <v>9720.5164999999997</v>
      </c>
      <c r="Z240" s="5">
        <v>14139.034299999999</v>
      </c>
      <c r="AA240" s="5">
        <v>4809.9799999999996</v>
      </c>
      <c r="AB240" s="5">
        <v>44375.48</v>
      </c>
      <c r="AC240" s="5">
        <v>1598.75</v>
      </c>
      <c r="AD240" s="5">
        <v>276.68599999999998</v>
      </c>
    </row>
    <row r="241" spans="5:30" ht="15">
      <c r="E241" s="9">
        <v>41394</v>
      </c>
      <c r="F241" s="5">
        <v>198.54</v>
      </c>
      <c r="G241" s="5">
        <v>477.63330000000002</v>
      </c>
      <c r="H241" s="5">
        <v>775.39869999999996</v>
      </c>
      <c r="I241" s="5">
        <v>1860.78</v>
      </c>
      <c r="J241" s="5">
        <v>450.048</v>
      </c>
      <c r="K241" s="5">
        <v>1892.04</v>
      </c>
      <c r="L241" s="5">
        <v>2487.23</v>
      </c>
      <c r="M241" s="5">
        <v>2511.6999999999998</v>
      </c>
      <c r="N241" s="5">
        <v>2435.5100000000002</v>
      </c>
      <c r="O241" s="5">
        <v>2607.39</v>
      </c>
      <c r="P241" s="5">
        <v>1542.56</v>
      </c>
      <c r="Q241" s="5">
        <v>675.23</v>
      </c>
      <c r="R241" s="5">
        <v>1597.57</v>
      </c>
      <c r="S241" s="5">
        <v>1476.14</v>
      </c>
      <c r="T241" s="5">
        <v>369.42</v>
      </c>
      <c r="U241" s="5">
        <v>1039.45</v>
      </c>
      <c r="V241" s="5">
        <v>4776.9083000000001</v>
      </c>
      <c r="W241" s="5">
        <v>12951.8361</v>
      </c>
      <c r="X241" s="5">
        <v>16266.813</v>
      </c>
      <c r="Y241" s="5">
        <v>9823.9704999999994</v>
      </c>
      <c r="Z241" s="5">
        <v>14231.3532</v>
      </c>
      <c r="AA241" s="5">
        <v>5084.8429999999998</v>
      </c>
      <c r="AB241" s="5">
        <v>44380.56</v>
      </c>
      <c r="AC241" s="5">
        <v>1476.75</v>
      </c>
      <c r="AD241" s="5">
        <v>268.96370000000002</v>
      </c>
    </row>
    <row r="242" spans="5:30" ht="15">
      <c r="E242" s="9">
        <v>41425</v>
      </c>
      <c r="F242" s="5">
        <v>198.56</v>
      </c>
      <c r="G242" s="5">
        <v>476.97919999999999</v>
      </c>
      <c r="H242" s="5">
        <v>762.33420000000001</v>
      </c>
      <c r="I242" s="5">
        <v>1827.58</v>
      </c>
      <c r="J242" s="5">
        <v>443.63409999999999</v>
      </c>
      <c r="K242" s="5">
        <v>1863.03</v>
      </c>
      <c r="L242" s="5">
        <v>2428.94</v>
      </c>
      <c r="M242" s="5">
        <v>2448.0100000000002</v>
      </c>
      <c r="N242" s="5">
        <v>2394.79</v>
      </c>
      <c r="O242" s="5">
        <v>2518.9699999999998</v>
      </c>
      <c r="P242" s="5">
        <v>1533.62</v>
      </c>
      <c r="Q242" s="5">
        <v>649.5</v>
      </c>
      <c r="R242" s="5">
        <v>1630.74</v>
      </c>
      <c r="S242" s="5">
        <v>1471.93</v>
      </c>
      <c r="T242" s="5">
        <v>367.19</v>
      </c>
      <c r="U242" s="5">
        <v>1008.88</v>
      </c>
      <c r="V242" s="5">
        <v>4806.3220000000001</v>
      </c>
      <c r="W242" s="5">
        <v>13190.180700000001</v>
      </c>
      <c r="X242" s="5">
        <v>16465.838</v>
      </c>
      <c r="Y242" s="5">
        <v>9830.1088</v>
      </c>
      <c r="Z242" s="5">
        <v>14053.3143</v>
      </c>
      <c r="AA242" s="5">
        <v>4747.973</v>
      </c>
      <c r="AB242" s="5">
        <v>46168.77</v>
      </c>
      <c r="AC242" s="5">
        <v>1387.92</v>
      </c>
      <c r="AD242" s="5">
        <v>262.9314</v>
      </c>
    </row>
    <row r="243" spans="5:30" ht="15">
      <c r="E243" s="9">
        <v>41453</v>
      </c>
      <c r="F243" s="5">
        <v>198.57</v>
      </c>
      <c r="G243" s="5">
        <v>476.74160000000001</v>
      </c>
      <c r="H243" s="5">
        <v>754.48289999999997</v>
      </c>
      <c r="I243" s="5">
        <v>1799.31</v>
      </c>
      <c r="J243" s="5">
        <v>437.45960000000002</v>
      </c>
      <c r="K243" s="5">
        <v>1845.11</v>
      </c>
      <c r="L243" s="5">
        <v>2361.89</v>
      </c>
      <c r="M243" s="5">
        <v>2377.4</v>
      </c>
      <c r="N243" s="5">
        <v>2336.0500000000002</v>
      </c>
      <c r="O243" s="5">
        <v>2442.3200000000002</v>
      </c>
      <c r="P243" s="5">
        <v>1493.4</v>
      </c>
      <c r="Q243" s="5">
        <v>616.82000000000005</v>
      </c>
      <c r="R243" s="5">
        <v>1606.28</v>
      </c>
      <c r="S243" s="5">
        <v>1433.55</v>
      </c>
      <c r="T243" s="5">
        <v>355.81</v>
      </c>
      <c r="U243" s="5">
        <v>940.33</v>
      </c>
      <c r="V243" s="5">
        <v>4743.1795000000002</v>
      </c>
      <c r="W243" s="5">
        <v>13053.948899999999</v>
      </c>
      <c r="X243" s="5">
        <v>16196.609899999999</v>
      </c>
      <c r="Y243" s="5">
        <v>9712.7391000000007</v>
      </c>
      <c r="Z243" s="5">
        <v>13832.831399999999</v>
      </c>
      <c r="AA243" s="5">
        <v>4636.2640000000001</v>
      </c>
      <c r="AB243" s="5">
        <v>46605.53</v>
      </c>
      <c r="AC243" s="5">
        <v>1234.57</v>
      </c>
      <c r="AD243" s="5">
        <v>250.53530000000001</v>
      </c>
    </row>
    <row r="244" spans="5:30" ht="15">
      <c r="E244" s="9">
        <v>41486</v>
      </c>
      <c r="F244" s="5">
        <v>198.59</v>
      </c>
      <c r="G244" s="5">
        <v>477.45890000000003</v>
      </c>
      <c r="H244" s="5">
        <v>753.61980000000005</v>
      </c>
      <c r="I244" s="5">
        <v>1801.77</v>
      </c>
      <c r="J244" s="5">
        <v>439.19229999999999</v>
      </c>
      <c r="K244" s="5">
        <v>1843.45</v>
      </c>
      <c r="L244" s="5">
        <v>2381.5700000000002</v>
      </c>
      <c r="M244" s="5">
        <v>2394.36</v>
      </c>
      <c r="N244" s="5">
        <v>2359.65</v>
      </c>
      <c r="O244" s="5">
        <v>2464.94</v>
      </c>
      <c r="P244" s="5">
        <v>1521.71</v>
      </c>
      <c r="Q244" s="5">
        <v>622.67999999999995</v>
      </c>
      <c r="R244" s="5">
        <v>1685.73</v>
      </c>
      <c r="S244" s="5">
        <v>1507.91</v>
      </c>
      <c r="T244" s="5">
        <v>372.49</v>
      </c>
      <c r="U244" s="5">
        <v>947.55</v>
      </c>
      <c r="V244" s="5">
        <v>4786.7650999999996</v>
      </c>
      <c r="W244" s="5">
        <v>13235.659600000001</v>
      </c>
      <c r="X244" s="5">
        <v>16563.705600000001</v>
      </c>
      <c r="Y244" s="5">
        <v>9768.5599000000002</v>
      </c>
      <c r="Z244" s="5">
        <v>13825.0689</v>
      </c>
      <c r="AA244" s="5">
        <v>4662.2780000000002</v>
      </c>
      <c r="AB244" s="5">
        <v>49955.01</v>
      </c>
      <c r="AC244" s="5">
        <v>1325.25</v>
      </c>
      <c r="AD244" s="5">
        <v>253.9487</v>
      </c>
    </row>
    <row r="245" spans="5:30" ht="15">
      <c r="E245" s="9">
        <v>41516</v>
      </c>
      <c r="F245" s="5">
        <v>198.61</v>
      </c>
      <c r="G245" s="5">
        <v>477.02519999999998</v>
      </c>
      <c r="H245" s="5">
        <v>750.11620000000005</v>
      </c>
      <c r="I245" s="5">
        <v>1792.56</v>
      </c>
      <c r="J245" s="5">
        <v>437.52480000000003</v>
      </c>
      <c r="K245" s="5">
        <v>1838.18</v>
      </c>
      <c r="L245" s="5">
        <v>2364.84</v>
      </c>
      <c r="M245" s="5">
        <v>2375.27</v>
      </c>
      <c r="N245" s="5">
        <v>2348.7800000000002</v>
      </c>
      <c r="O245" s="5">
        <v>2441.6799999999998</v>
      </c>
      <c r="P245" s="5">
        <v>1512.46</v>
      </c>
      <c r="Q245" s="5">
        <v>605.99</v>
      </c>
      <c r="R245" s="5">
        <v>1632.97</v>
      </c>
      <c r="S245" s="5">
        <v>1472.74</v>
      </c>
      <c r="T245" s="5">
        <v>363.98</v>
      </c>
      <c r="U245" s="5">
        <v>929.54</v>
      </c>
      <c r="V245" s="5">
        <v>4753.4337999999998</v>
      </c>
      <c r="W245" s="5">
        <v>13203.915800000001</v>
      </c>
      <c r="X245" s="5">
        <v>16423.165300000001</v>
      </c>
      <c r="Y245" s="5">
        <v>9757.4068000000007</v>
      </c>
      <c r="Z245" s="5">
        <v>13675.416999999999</v>
      </c>
      <c r="AA245" s="5">
        <v>4367.0259999999998</v>
      </c>
      <c r="AB245" s="5">
        <v>48614.22</v>
      </c>
      <c r="AC245" s="5">
        <v>1395.15</v>
      </c>
      <c r="AD245" s="5">
        <v>262.58879999999999</v>
      </c>
    </row>
    <row r="246" spans="5:30" ht="15">
      <c r="E246" s="9">
        <v>41547</v>
      </c>
      <c r="F246" s="5">
        <v>198.63</v>
      </c>
      <c r="G246" s="5">
        <v>478.04480000000001</v>
      </c>
      <c r="H246" s="5">
        <v>755.11099999999999</v>
      </c>
      <c r="I246" s="5">
        <v>1809.53</v>
      </c>
      <c r="J246" s="5">
        <v>441.07580000000002</v>
      </c>
      <c r="K246" s="5">
        <v>1864.06</v>
      </c>
      <c r="L246" s="5">
        <v>2381.27</v>
      </c>
      <c r="M246" s="5">
        <v>2390.13</v>
      </c>
      <c r="N246" s="5">
        <v>2372</v>
      </c>
      <c r="O246" s="5">
        <v>2445.7800000000002</v>
      </c>
      <c r="P246" s="5">
        <v>1527.48</v>
      </c>
      <c r="Q246" s="5">
        <v>622.16999999999996</v>
      </c>
      <c r="R246" s="5">
        <v>1681.55</v>
      </c>
      <c r="S246" s="5">
        <v>1543.67</v>
      </c>
      <c r="T246" s="5">
        <v>382.07</v>
      </c>
      <c r="U246" s="5">
        <v>987.46</v>
      </c>
      <c r="V246" s="5">
        <v>4810.9002</v>
      </c>
      <c r="W246" s="5">
        <v>13407.635200000001</v>
      </c>
      <c r="X246" s="5">
        <v>16860.582299999998</v>
      </c>
      <c r="Y246" s="5">
        <v>9864.7998000000007</v>
      </c>
      <c r="Z246" s="5">
        <v>13652.6752</v>
      </c>
      <c r="AA246" s="5">
        <v>4518.0079999999998</v>
      </c>
      <c r="AB246" s="5">
        <v>51646</v>
      </c>
      <c r="AC246" s="5">
        <v>1328.94</v>
      </c>
      <c r="AD246" s="5">
        <v>255.8818</v>
      </c>
    </row>
    <row r="247" spans="5:30" ht="15">
      <c r="E247" s="9">
        <v>41578</v>
      </c>
      <c r="F247" s="5">
        <v>198.62</v>
      </c>
      <c r="G247" s="5">
        <v>478.495</v>
      </c>
      <c r="H247" s="5">
        <v>758.63699999999994</v>
      </c>
      <c r="I247" s="5">
        <v>1824.16</v>
      </c>
      <c r="J247" s="5">
        <v>445.03919999999999</v>
      </c>
      <c r="K247" s="5">
        <v>1876.76</v>
      </c>
      <c r="L247" s="5">
        <v>2416.48</v>
      </c>
      <c r="M247" s="5">
        <v>2425.37</v>
      </c>
      <c r="N247" s="5">
        <v>2406.37</v>
      </c>
      <c r="O247" s="5">
        <v>2484.66</v>
      </c>
      <c r="P247" s="5">
        <v>1565.75</v>
      </c>
      <c r="Q247" s="5">
        <v>638.78</v>
      </c>
      <c r="R247" s="5">
        <v>1756.54</v>
      </c>
      <c r="S247" s="5">
        <v>1602.86</v>
      </c>
      <c r="T247" s="5">
        <v>397.11</v>
      </c>
      <c r="U247" s="5">
        <v>1034.42</v>
      </c>
      <c r="V247" s="5">
        <v>4869.0025999999998</v>
      </c>
      <c r="W247" s="5">
        <v>13609.580599999999</v>
      </c>
      <c r="X247" s="5">
        <v>17199.411800000002</v>
      </c>
      <c r="Y247" s="5">
        <v>9973.2973000000002</v>
      </c>
      <c r="Z247" s="5">
        <v>13765.9161</v>
      </c>
      <c r="AA247" s="5">
        <v>4698.0259999999998</v>
      </c>
      <c r="AB247" s="5">
        <v>52120.51</v>
      </c>
      <c r="AC247" s="5">
        <v>1323.1</v>
      </c>
      <c r="AD247" s="5">
        <v>252.10339999999999</v>
      </c>
    </row>
    <row r="248" spans="5:30" ht="15">
      <c r="E248" s="9">
        <v>41607</v>
      </c>
      <c r="F248" s="5">
        <v>198.62</v>
      </c>
      <c r="G248" s="5">
        <v>478.92410000000001</v>
      </c>
      <c r="H248" s="5">
        <v>756.28089999999997</v>
      </c>
      <c r="I248" s="5">
        <v>1817.33</v>
      </c>
      <c r="J248" s="5">
        <v>444.42950000000002</v>
      </c>
      <c r="K248" s="5">
        <v>1865.08</v>
      </c>
      <c r="L248" s="5">
        <v>2411.69</v>
      </c>
      <c r="M248" s="5">
        <v>2416.98</v>
      </c>
      <c r="N248" s="5">
        <v>2410.08</v>
      </c>
      <c r="O248" s="5">
        <v>2472.5500000000002</v>
      </c>
      <c r="P248" s="5">
        <v>1573.7</v>
      </c>
      <c r="Q248" s="5">
        <v>624.22</v>
      </c>
      <c r="R248" s="5">
        <v>1805.81</v>
      </c>
      <c r="S248" s="5">
        <v>1628.42</v>
      </c>
      <c r="T248" s="5">
        <v>402.05</v>
      </c>
      <c r="U248" s="5">
        <v>1018.28</v>
      </c>
      <c r="V248" s="5">
        <v>4925.5621000000001</v>
      </c>
      <c r="W248" s="5">
        <v>13750.725899999999</v>
      </c>
      <c r="X248" s="5">
        <v>17405.058700000001</v>
      </c>
      <c r="Y248" s="5">
        <v>10021.0015</v>
      </c>
      <c r="Z248" s="5">
        <v>13838.021500000001</v>
      </c>
      <c r="AA248" s="5">
        <v>4475.2650000000003</v>
      </c>
      <c r="AB248" s="5">
        <v>55174.96</v>
      </c>
      <c r="AC248" s="5">
        <v>1253.49</v>
      </c>
      <c r="AD248" s="5">
        <v>250.0857</v>
      </c>
    </row>
    <row r="249" spans="5:30" ht="15">
      <c r="E249" s="9">
        <v>41639</v>
      </c>
      <c r="F249" s="5">
        <v>198.65</v>
      </c>
      <c r="G249" s="5">
        <v>478.33629999999999</v>
      </c>
      <c r="H249" s="5">
        <v>749.68520000000001</v>
      </c>
      <c r="I249" s="5">
        <v>1807.06</v>
      </c>
      <c r="J249" s="5">
        <v>442.02809999999999</v>
      </c>
      <c r="K249" s="5">
        <v>1856.28</v>
      </c>
      <c r="L249" s="5">
        <v>2407.75</v>
      </c>
      <c r="M249" s="5">
        <v>2415.0500000000002</v>
      </c>
      <c r="N249" s="5">
        <v>2404.21</v>
      </c>
      <c r="O249" s="5">
        <v>2463.9299999999998</v>
      </c>
      <c r="P249" s="5">
        <v>1582.19</v>
      </c>
      <c r="Q249" s="5">
        <v>627.86</v>
      </c>
      <c r="R249" s="5">
        <v>1848.36</v>
      </c>
      <c r="S249" s="5">
        <v>1661.07</v>
      </c>
      <c r="T249" s="5">
        <v>408.55</v>
      </c>
      <c r="U249" s="5">
        <v>1002.69</v>
      </c>
      <c r="V249" s="5">
        <v>5000.5623999999998</v>
      </c>
      <c r="W249" s="5">
        <v>13914.8364</v>
      </c>
      <c r="X249" s="5">
        <v>17651.226999999999</v>
      </c>
      <c r="Y249" s="5">
        <v>10098.0128</v>
      </c>
      <c r="Z249" s="5">
        <v>13903.1242</v>
      </c>
      <c r="AA249" s="5">
        <v>4511.8969999999999</v>
      </c>
      <c r="AB249" s="5">
        <v>56851.43</v>
      </c>
      <c r="AC249" s="5">
        <v>1205.6500000000001</v>
      </c>
      <c r="AD249" s="5">
        <v>253.1865</v>
      </c>
    </row>
    <row r="250" spans="5:30" ht="15">
      <c r="E250" s="9">
        <v>41670</v>
      </c>
      <c r="F250" s="5">
        <v>198.67</v>
      </c>
      <c r="G250" s="5">
        <v>479.05650000000003</v>
      </c>
      <c r="H250" s="5">
        <v>759.48249999999996</v>
      </c>
      <c r="I250" s="5">
        <v>1833.76</v>
      </c>
      <c r="J250" s="5">
        <v>448.37759999999997</v>
      </c>
      <c r="K250" s="5">
        <v>1885.3</v>
      </c>
      <c r="L250" s="5">
        <v>2451.39</v>
      </c>
      <c r="M250" s="5">
        <v>2462.88</v>
      </c>
      <c r="N250" s="5">
        <v>2434.5500000000002</v>
      </c>
      <c r="O250" s="5">
        <v>2527.94</v>
      </c>
      <c r="P250" s="5">
        <v>1593.29</v>
      </c>
      <c r="Q250" s="5">
        <v>621.46</v>
      </c>
      <c r="R250" s="5">
        <v>1782.59</v>
      </c>
      <c r="S250" s="5">
        <v>1598.46</v>
      </c>
      <c r="T250" s="5">
        <v>391.92</v>
      </c>
      <c r="U250" s="5">
        <v>936.53</v>
      </c>
      <c r="V250" s="5">
        <v>4977.1833999999999</v>
      </c>
      <c r="W250" s="5">
        <v>13914.8228</v>
      </c>
      <c r="X250" s="5">
        <v>17478.9205</v>
      </c>
      <c r="Y250" s="5">
        <v>10158.6849</v>
      </c>
      <c r="Z250" s="5">
        <v>13784.743899999999</v>
      </c>
      <c r="AA250" s="5">
        <v>4672.34</v>
      </c>
      <c r="AB250" s="5">
        <v>57761.54</v>
      </c>
      <c r="AC250" s="5">
        <v>1244.55</v>
      </c>
      <c r="AD250" s="5">
        <v>253.9401</v>
      </c>
    </row>
    <row r="251" spans="5:30" ht="15">
      <c r="E251" s="9">
        <v>41698</v>
      </c>
      <c r="F251" s="5">
        <v>198.67</v>
      </c>
      <c r="G251" s="5">
        <v>479.4529</v>
      </c>
      <c r="H251" s="5">
        <v>761.43960000000004</v>
      </c>
      <c r="I251" s="5">
        <v>1843.51</v>
      </c>
      <c r="J251" s="5">
        <v>450.58120000000002</v>
      </c>
      <c r="K251" s="5">
        <v>1891.79</v>
      </c>
      <c r="L251" s="5">
        <v>2476.88</v>
      </c>
      <c r="M251" s="5">
        <v>2490.29</v>
      </c>
      <c r="N251" s="5">
        <v>2457.58</v>
      </c>
      <c r="O251" s="5">
        <v>2551.81</v>
      </c>
      <c r="P251" s="5">
        <v>1625.52</v>
      </c>
      <c r="Q251" s="5">
        <v>641.62</v>
      </c>
      <c r="R251" s="5">
        <v>1859.45</v>
      </c>
      <c r="S251" s="5">
        <v>1675.4</v>
      </c>
      <c r="T251" s="5">
        <v>410.13</v>
      </c>
      <c r="U251" s="5">
        <v>966.42</v>
      </c>
      <c r="V251" s="5">
        <v>5055.1518999999998</v>
      </c>
      <c r="W251" s="5">
        <v>14174.909900000001</v>
      </c>
      <c r="X251" s="5">
        <v>17922.491300000002</v>
      </c>
      <c r="Y251" s="5">
        <v>10284.213100000001</v>
      </c>
      <c r="Z251" s="5">
        <v>13983.1011</v>
      </c>
      <c r="AA251" s="5">
        <v>4888.875</v>
      </c>
      <c r="AB251" s="5">
        <v>60490.66</v>
      </c>
      <c r="AC251" s="5">
        <v>1326.44</v>
      </c>
      <c r="AD251" s="5">
        <v>269.77390000000003</v>
      </c>
    </row>
    <row r="252" spans="5:30" ht="15">
      <c r="E252" s="9">
        <v>41729</v>
      </c>
      <c r="F252" s="5">
        <v>198.69</v>
      </c>
      <c r="G252" s="5">
        <v>478.96769999999998</v>
      </c>
      <c r="H252" s="5">
        <v>759.375</v>
      </c>
      <c r="I252" s="5">
        <v>1840.37</v>
      </c>
      <c r="J252" s="5">
        <v>451.02420000000001</v>
      </c>
      <c r="K252" s="5">
        <v>1885.7</v>
      </c>
      <c r="L252" s="5">
        <v>2478.5300000000002</v>
      </c>
      <c r="M252" s="5">
        <v>2494.25</v>
      </c>
      <c r="N252" s="5">
        <v>2453.9899999999998</v>
      </c>
      <c r="O252" s="5">
        <v>2557.54</v>
      </c>
      <c r="P252" s="5">
        <v>1629.36</v>
      </c>
      <c r="Q252" s="5">
        <v>649.71</v>
      </c>
      <c r="R252" s="5">
        <v>1872.34</v>
      </c>
      <c r="S252" s="5">
        <v>1673.87</v>
      </c>
      <c r="T252" s="5">
        <v>411.02</v>
      </c>
      <c r="U252" s="5">
        <v>994.65</v>
      </c>
      <c r="V252" s="5">
        <v>5024.3343999999997</v>
      </c>
      <c r="W252" s="5">
        <v>14190.598400000001</v>
      </c>
      <c r="X252" s="5">
        <v>17848.0118</v>
      </c>
      <c r="Y252" s="5">
        <v>10333.0509</v>
      </c>
      <c r="Z252" s="5">
        <v>13857.130499999999</v>
      </c>
      <c r="AA252" s="5">
        <v>4907.2299999999996</v>
      </c>
      <c r="AB252" s="5">
        <v>59274.559999999998</v>
      </c>
      <c r="AC252" s="5">
        <v>1284.01</v>
      </c>
      <c r="AD252" s="5">
        <v>270.88319999999999</v>
      </c>
    </row>
    <row r="253" spans="5:30" ht="15">
      <c r="E253" s="9">
        <v>41759</v>
      </c>
      <c r="F253" s="5">
        <v>198.71</v>
      </c>
      <c r="G253" s="5">
        <v>479.57769999999999</v>
      </c>
      <c r="H253" s="5">
        <v>763.43409999999994</v>
      </c>
      <c r="I253" s="5">
        <v>1855.9</v>
      </c>
      <c r="J253" s="5">
        <v>454.14519999999999</v>
      </c>
      <c r="K253" s="5">
        <v>1903.14</v>
      </c>
      <c r="L253" s="5">
        <v>2508.2199999999998</v>
      </c>
      <c r="M253" s="5">
        <v>2526.14</v>
      </c>
      <c r="N253" s="5">
        <v>2476.4499999999998</v>
      </c>
      <c r="O253" s="5">
        <v>2598.7600000000002</v>
      </c>
      <c r="P253" s="5">
        <v>1639.68</v>
      </c>
      <c r="Q253" s="5">
        <v>659.84</v>
      </c>
      <c r="R253" s="5">
        <v>1883.95</v>
      </c>
      <c r="S253" s="5">
        <v>1687.74</v>
      </c>
      <c r="T253" s="5">
        <v>414.09</v>
      </c>
      <c r="U253" s="5">
        <v>995.28</v>
      </c>
      <c r="V253" s="5">
        <v>4989.9993999999997</v>
      </c>
      <c r="W253" s="5">
        <v>14199.72</v>
      </c>
      <c r="X253" s="5">
        <v>17717.9244</v>
      </c>
      <c r="Y253" s="5">
        <v>10392.680399999999</v>
      </c>
      <c r="Z253" s="5">
        <v>13865.789500000001</v>
      </c>
      <c r="AA253" s="5">
        <v>5049.2259999999997</v>
      </c>
      <c r="AB253" s="5">
        <v>55354.12</v>
      </c>
      <c r="AC253" s="5">
        <v>1291.55</v>
      </c>
      <c r="AD253" s="5">
        <v>277.48149999999998</v>
      </c>
    </row>
    <row r="254" spans="5:30" ht="15">
      <c r="E254" s="9">
        <v>41789</v>
      </c>
      <c r="F254" s="5">
        <v>198.71</v>
      </c>
      <c r="G254" s="5">
        <v>480.41730000000001</v>
      </c>
      <c r="H254" s="5">
        <v>770.36099999999999</v>
      </c>
      <c r="I254" s="5">
        <v>1877.03</v>
      </c>
      <c r="J254" s="5">
        <v>458.52600000000001</v>
      </c>
      <c r="K254" s="5">
        <v>1926.04</v>
      </c>
      <c r="L254" s="5">
        <v>2542.5100000000002</v>
      </c>
      <c r="M254" s="5">
        <v>2562.77</v>
      </c>
      <c r="N254" s="5">
        <v>2504.69</v>
      </c>
      <c r="O254" s="5">
        <v>2640.61</v>
      </c>
      <c r="P254" s="5">
        <v>1654.76</v>
      </c>
      <c r="Q254" s="5">
        <v>680.92</v>
      </c>
      <c r="R254" s="5">
        <v>1923.57</v>
      </c>
      <c r="S254" s="5">
        <v>1715.18</v>
      </c>
      <c r="T254" s="5">
        <v>421.53</v>
      </c>
      <c r="U254" s="5">
        <v>1027.69</v>
      </c>
      <c r="V254" s="5">
        <v>5049.6169</v>
      </c>
      <c r="W254" s="5">
        <v>14330.133099999999</v>
      </c>
      <c r="X254" s="5">
        <v>17916.2343</v>
      </c>
      <c r="Y254" s="5">
        <v>10480.885</v>
      </c>
      <c r="Z254" s="5">
        <v>13944.688599999999</v>
      </c>
      <c r="AA254" s="5">
        <v>5194.0349999999999</v>
      </c>
      <c r="AB254" s="5">
        <v>55198.45</v>
      </c>
      <c r="AC254" s="5">
        <v>1249.73</v>
      </c>
      <c r="AD254" s="5">
        <v>269.50490000000002</v>
      </c>
    </row>
    <row r="255" spans="5:30" ht="15">
      <c r="E255" s="9">
        <v>41820</v>
      </c>
      <c r="F255" s="5">
        <v>198.72</v>
      </c>
      <c r="G255" s="5">
        <v>480.21300000000002</v>
      </c>
      <c r="H255" s="5">
        <v>769.35109999999997</v>
      </c>
      <c r="I255" s="5">
        <v>1878</v>
      </c>
      <c r="J255" s="5">
        <v>460.08409999999998</v>
      </c>
      <c r="K255" s="5">
        <v>1931.09</v>
      </c>
      <c r="L255" s="5">
        <v>2544.4899999999998</v>
      </c>
      <c r="M255" s="5">
        <v>2563.3200000000002</v>
      </c>
      <c r="N255" s="5">
        <v>2508.8000000000002</v>
      </c>
      <c r="O255" s="5">
        <v>2643.45</v>
      </c>
      <c r="P255" s="5">
        <v>1668.59</v>
      </c>
      <c r="Q255" s="5">
        <v>684.97</v>
      </c>
      <c r="R255" s="5">
        <v>1960.23</v>
      </c>
      <c r="S255" s="5">
        <v>1743.42</v>
      </c>
      <c r="T255" s="5">
        <v>428.75</v>
      </c>
      <c r="U255" s="5">
        <v>1050.78</v>
      </c>
      <c r="V255" s="5">
        <v>5100.6481000000003</v>
      </c>
      <c r="W255" s="5">
        <v>14518.7482</v>
      </c>
      <c r="X255" s="5">
        <v>18225.4388</v>
      </c>
      <c r="Y255" s="5">
        <v>10582.0465</v>
      </c>
      <c r="Z255" s="5">
        <v>14041.676299999999</v>
      </c>
      <c r="AA255" s="5">
        <v>5251.6220000000003</v>
      </c>
      <c r="AB255" s="5">
        <v>58408.02</v>
      </c>
      <c r="AC255" s="5">
        <v>1327.32</v>
      </c>
      <c r="AD255" s="5">
        <v>271.1121</v>
      </c>
    </row>
    <row r="256" spans="5:30" ht="15">
      <c r="E256" s="9">
        <v>41851</v>
      </c>
      <c r="F256" s="5">
        <v>198.73</v>
      </c>
      <c r="G256" s="5">
        <v>479.85250000000002</v>
      </c>
      <c r="H256" s="5">
        <v>768.20699999999999</v>
      </c>
      <c r="I256" s="5">
        <v>1873.29</v>
      </c>
      <c r="J256" s="5">
        <v>461.0745</v>
      </c>
      <c r="K256" s="5">
        <v>1919.76</v>
      </c>
      <c r="L256" s="5">
        <v>2543.0700000000002</v>
      </c>
      <c r="M256" s="5">
        <v>2562.1</v>
      </c>
      <c r="N256" s="5">
        <v>2506.1</v>
      </c>
      <c r="O256" s="5">
        <v>2646.09</v>
      </c>
      <c r="P256" s="5">
        <v>1646.34</v>
      </c>
      <c r="Q256" s="5">
        <v>685.77</v>
      </c>
      <c r="R256" s="5">
        <v>1930.67</v>
      </c>
      <c r="S256" s="5">
        <v>1714.35</v>
      </c>
      <c r="T256" s="5">
        <v>423.04</v>
      </c>
      <c r="U256" s="5">
        <v>1065.77</v>
      </c>
      <c r="V256" s="5">
        <v>5078.9120999999996</v>
      </c>
      <c r="W256" s="5">
        <v>14425.576800000001</v>
      </c>
      <c r="X256" s="5">
        <v>18049.0861</v>
      </c>
      <c r="Y256" s="5">
        <v>10576.364299999999</v>
      </c>
      <c r="Z256" s="5">
        <v>13986.182199999999</v>
      </c>
      <c r="AA256" s="5">
        <v>5242.3810000000003</v>
      </c>
      <c r="AB256" s="5">
        <v>54315.28</v>
      </c>
      <c r="AC256" s="5">
        <v>1282.55</v>
      </c>
      <c r="AD256" s="5">
        <v>257.60109999999997</v>
      </c>
    </row>
    <row r="257" spans="5:30" ht="15">
      <c r="E257" s="9">
        <v>41880</v>
      </c>
      <c r="F257" s="5">
        <v>198.75</v>
      </c>
      <c r="G257" s="5">
        <v>480.65550000000002</v>
      </c>
      <c r="H257" s="5">
        <v>776.05629999999996</v>
      </c>
      <c r="I257" s="5">
        <v>1893.97</v>
      </c>
      <c r="J257" s="5">
        <v>466.69299999999998</v>
      </c>
      <c r="K257" s="5">
        <v>1937.74</v>
      </c>
      <c r="L257" s="5">
        <v>2579.75</v>
      </c>
      <c r="M257" s="5">
        <v>2603.12</v>
      </c>
      <c r="N257" s="5">
        <v>2532.7600000000002</v>
      </c>
      <c r="O257" s="5">
        <v>2694.39</v>
      </c>
      <c r="P257" s="5">
        <v>1672.43</v>
      </c>
      <c r="Q257" s="5">
        <v>690.3</v>
      </c>
      <c r="R257" s="5">
        <v>2003.37</v>
      </c>
      <c r="S257" s="5">
        <v>1748.69</v>
      </c>
      <c r="T257" s="5">
        <v>431.55</v>
      </c>
      <c r="U257" s="5">
        <v>1087.8800000000001</v>
      </c>
      <c r="V257" s="5">
        <v>5120.0284000000001</v>
      </c>
      <c r="W257" s="5">
        <v>14477.7708</v>
      </c>
      <c r="X257" s="5">
        <v>18339.719400000002</v>
      </c>
      <c r="Y257" s="5">
        <v>10638.154500000001</v>
      </c>
      <c r="Z257" s="5">
        <v>14195.9997</v>
      </c>
      <c r="AA257" s="5">
        <v>5419.7730000000001</v>
      </c>
      <c r="AB257" s="5">
        <v>56599.29</v>
      </c>
      <c r="AC257" s="5">
        <v>1287.82</v>
      </c>
      <c r="AD257" s="5">
        <v>254.90880000000001</v>
      </c>
    </row>
    <row r="258" spans="5:30" ht="15">
      <c r="E258" s="9">
        <v>41912</v>
      </c>
      <c r="F258" s="5">
        <v>198.76</v>
      </c>
      <c r="G258" s="5">
        <v>480.35770000000002</v>
      </c>
      <c r="H258" s="5">
        <v>771.88760000000002</v>
      </c>
      <c r="I258" s="5">
        <v>1881.11</v>
      </c>
      <c r="J258" s="5">
        <v>465.3177</v>
      </c>
      <c r="K258" s="5">
        <v>1934.61</v>
      </c>
      <c r="L258" s="5">
        <v>2542.5300000000002</v>
      </c>
      <c r="M258" s="5">
        <v>2559.13</v>
      </c>
      <c r="N258" s="5">
        <v>2507.66</v>
      </c>
      <c r="O258" s="5">
        <v>2655.41</v>
      </c>
      <c r="P258" s="5">
        <v>1637.42</v>
      </c>
      <c r="Q258" s="5">
        <v>673.67</v>
      </c>
      <c r="R258" s="5">
        <v>1972.29</v>
      </c>
      <c r="S258" s="5">
        <v>1698.41</v>
      </c>
      <c r="T258" s="5">
        <v>416.85</v>
      </c>
      <c r="U258" s="5">
        <v>1005.33</v>
      </c>
      <c r="V258" s="5">
        <v>5119.1174000000001</v>
      </c>
      <c r="W258" s="5">
        <v>14269.2135</v>
      </c>
      <c r="X258" s="5">
        <v>17977.8341</v>
      </c>
      <c r="Y258" s="5">
        <v>10599.2642</v>
      </c>
      <c r="Z258" s="5">
        <v>14349.293299999999</v>
      </c>
      <c r="AA258" s="5">
        <v>5113.223</v>
      </c>
      <c r="AB258" s="5">
        <v>53379.03</v>
      </c>
      <c r="AC258" s="5">
        <v>1208.1600000000001</v>
      </c>
      <c r="AD258" s="5">
        <v>239.03870000000001</v>
      </c>
    </row>
    <row r="259" spans="5:30" ht="15">
      <c r="E259" s="9">
        <v>41943</v>
      </c>
      <c r="F259" s="5">
        <v>198.76</v>
      </c>
      <c r="G259" s="5">
        <v>481.68079999999998</v>
      </c>
      <c r="H259" s="5">
        <v>779.24919999999997</v>
      </c>
      <c r="I259" s="5">
        <v>1899.6</v>
      </c>
      <c r="J259" s="5">
        <v>468.70890000000003</v>
      </c>
      <c r="K259" s="5">
        <v>1953.34</v>
      </c>
      <c r="L259" s="5">
        <v>2568.56</v>
      </c>
      <c r="M259" s="5">
        <v>2584.4899999999998</v>
      </c>
      <c r="N259" s="5">
        <v>2531.89</v>
      </c>
      <c r="O259" s="5">
        <v>2695.95</v>
      </c>
      <c r="P259" s="5">
        <v>1656.88</v>
      </c>
      <c r="Q259" s="5">
        <v>684.77</v>
      </c>
      <c r="R259" s="5">
        <v>2018.05</v>
      </c>
      <c r="S259" s="5">
        <v>1708.09</v>
      </c>
      <c r="T259" s="5">
        <v>419.45</v>
      </c>
      <c r="U259" s="5">
        <v>1016.07</v>
      </c>
      <c r="V259" s="5">
        <v>5088.2662</v>
      </c>
      <c r="W259" s="5">
        <v>14031.0887</v>
      </c>
      <c r="X259" s="5">
        <v>17963.2559</v>
      </c>
      <c r="Y259" s="5">
        <v>10529.296</v>
      </c>
      <c r="Z259" s="5">
        <v>14320.528399999999</v>
      </c>
      <c r="AA259" s="5">
        <v>5556.7489999999998</v>
      </c>
      <c r="AB259" s="5">
        <v>55026.63</v>
      </c>
      <c r="AC259" s="5">
        <v>1173.48</v>
      </c>
      <c r="AD259" s="5">
        <v>237.11709999999999</v>
      </c>
    </row>
    <row r="260" spans="5:30" ht="15">
      <c r="E260" s="9">
        <v>41971</v>
      </c>
      <c r="F260" s="5">
        <v>198.77</v>
      </c>
      <c r="G260" s="5">
        <v>482.35629999999998</v>
      </c>
      <c r="H260" s="5">
        <v>785.41970000000003</v>
      </c>
      <c r="I260" s="5">
        <v>1913.08</v>
      </c>
      <c r="J260" s="5">
        <v>473.11020000000002</v>
      </c>
      <c r="K260" s="5">
        <v>1966.13</v>
      </c>
      <c r="L260" s="5">
        <v>2585.87</v>
      </c>
      <c r="M260" s="5">
        <v>2601.1999999999998</v>
      </c>
      <c r="N260" s="5">
        <v>2551.7800000000002</v>
      </c>
      <c r="O260" s="5">
        <v>2706.74</v>
      </c>
      <c r="P260" s="5">
        <v>1644.82</v>
      </c>
      <c r="Q260" s="5">
        <v>682.12</v>
      </c>
      <c r="R260" s="5">
        <v>2067.56</v>
      </c>
      <c r="S260" s="5">
        <v>1739.5</v>
      </c>
      <c r="T260" s="5">
        <v>425.82</v>
      </c>
      <c r="U260" s="5">
        <v>1004.72</v>
      </c>
      <c r="V260" s="5">
        <v>5157.8643000000002</v>
      </c>
      <c r="W260" s="5">
        <v>14103.504000000001</v>
      </c>
      <c r="X260" s="5">
        <v>18033.279699999999</v>
      </c>
      <c r="Y260" s="5">
        <v>10552.933499999999</v>
      </c>
      <c r="Z260" s="5">
        <v>14642.9534</v>
      </c>
      <c r="AA260" s="5">
        <v>5686.0360000000001</v>
      </c>
      <c r="AB260" s="5">
        <v>54336.55</v>
      </c>
      <c r="AC260" s="5">
        <v>1167.4000000000001</v>
      </c>
      <c r="AD260" s="5">
        <v>227.47149999999999</v>
      </c>
    </row>
    <row r="261" spans="5:30" ht="15">
      <c r="E261" s="9">
        <v>42004</v>
      </c>
      <c r="F261" s="5">
        <v>198.76</v>
      </c>
      <c r="G261" s="5">
        <v>481.19630000000001</v>
      </c>
      <c r="H261" s="5">
        <v>786.59079999999994</v>
      </c>
      <c r="I261" s="5">
        <v>1914.87</v>
      </c>
      <c r="J261" s="5">
        <v>475.55950000000001</v>
      </c>
      <c r="K261" s="5">
        <v>1969.17</v>
      </c>
      <c r="L261" s="5">
        <v>2587.44</v>
      </c>
      <c r="M261" s="5">
        <v>2598.65</v>
      </c>
      <c r="N261" s="5">
        <v>2552.41</v>
      </c>
      <c r="O261" s="5">
        <v>2746.03</v>
      </c>
      <c r="P261" s="5">
        <v>1621</v>
      </c>
      <c r="Q261" s="5">
        <v>662.57</v>
      </c>
      <c r="R261" s="5">
        <v>2058.9</v>
      </c>
      <c r="S261" s="5">
        <v>1709.67</v>
      </c>
      <c r="T261" s="5">
        <v>417.12</v>
      </c>
      <c r="U261" s="5">
        <v>956.31</v>
      </c>
      <c r="V261" s="5">
        <v>5171.5420000000004</v>
      </c>
      <c r="W261" s="5">
        <v>14064.864</v>
      </c>
      <c r="X261" s="5">
        <v>17970.592799999999</v>
      </c>
      <c r="Y261" s="5">
        <v>10503.638199999999</v>
      </c>
      <c r="Z261" s="5">
        <v>14678.342500000001</v>
      </c>
      <c r="AA261" s="5">
        <v>5740.4319999999998</v>
      </c>
      <c r="AB261" s="5">
        <v>56734.78</v>
      </c>
      <c r="AC261" s="5">
        <v>1184.8599999999999</v>
      </c>
      <c r="AD261" s="5">
        <v>210.1242</v>
      </c>
    </row>
    <row r="262" spans="5:30" ht="15">
      <c r="E262" s="9">
        <v>42034</v>
      </c>
      <c r="F262" s="5">
        <v>198.8</v>
      </c>
      <c r="G262" s="5">
        <v>483.62450000000001</v>
      </c>
      <c r="H262" s="5">
        <v>806.7423</v>
      </c>
      <c r="I262" s="5">
        <v>1955.02</v>
      </c>
      <c r="J262" s="5">
        <v>484.42860000000002</v>
      </c>
      <c r="K262" s="5">
        <v>1985.88</v>
      </c>
      <c r="L262" s="5">
        <v>2665.94</v>
      </c>
      <c r="M262" s="5">
        <v>2681.4</v>
      </c>
      <c r="N262" s="5">
        <v>2613.31</v>
      </c>
      <c r="O262" s="5">
        <v>2871.99</v>
      </c>
      <c r="P262" s="5">
        <v>1631.71</v>
      </c>
      <c r="Q262" s="5">
        <v>664.85</v>
      </c>
      <c r="R262" s="5">
        <v>1994.99</v>
      </c>
      <c r="S262" s="5">
        <v>1677.54</v>
      </c>
      <c r="T262" s="5">
        <v>410.33</v>
      </c>
      <c r="U262" s="5">
        <v>961.61</v>
      </c>
      <c r="V262" s="5">
        <v>5180.5406000000003</v>
      </c>
      <c r="W262" s="5">
        <v>13915.7112</v>
      </c>
      <c r="X262" s="5">
        <v>17788.392899999999</v>
      </c>
      <c r="Y262" s="5">
        <v>10505.619199999999</v>
      </c>
      <c r="Z262" s="5">
        <v>15047.019700000001</v>
      </c>
      <c r="AA262" s="5">
        <v>6067.9290000000001</v>
      </c>
      <c r="AB262" s="5">
        <v>54798.400000000001</v>
      </c>
      <c r="AC262" s="5">
        <v>1283.78</v>
      </c>
      <c r="AD262" s="5">
        <v>203.10560000000001</v>
      </c>
    </row>
    <row r="263" spans="5:30" ht="15">
      <c r="E263" s="9">
        <v>42062</v>
      </c>
      <c r="F263" s="5">
        <v>198.81</v>
      </c>
      <c r="G263" s="5">
        <v>482.5831</v>
      </c>
      <c r="H263" s="5">
        <v>794.36530000000005</v>
      </c>
      <c r="I263" s="5">
        <v>1936.64</v>
      </c>
      <c r="J263" s="5">
        <v>481.56639999999999</v>
      </c>
      <c r="K263" s="5">
        <v>1982.65</v>
      </c>
      <c r="L263" s="5">
        <v>2638.92</v>
      </c>
      <c r="M263" s="5">
        <v>2654.76</v>
      </c>
      <c r="N263" s="5">
        <v>2592.0100000000002</v>
      </c>
      <c r="O263" s="5">
        <v>2815.1</v>
      </c>
      <c r="P263" s="5">
        <v>1671.04</v>
      </c>
      <c r="Q263" s="5">
        <v>673.13</v>
      </c>
      <c r="R263" s="5">
        <v>2104.5</v>
      </c>
      <c r="S263" s="5">
        <v>1772.86</v>
      </c>
      <c r="T263" s="5">
        <v>432.47</v>
      </c>
      <c r="U263" s="5">
        <v>990.28</v>
      </c>
      <c r="V263" s="5">
        <v>5275.4323999999997</v>
      </c>
      <c r="W263" s="5">
        <v>14265.5357</v>
      </c>
      <c r="X263" s="5">
        <v>18271.902600000001</v>
      </c>
      <c r="Y263" s="5">
        <v>10656.331399999999</v>
      </c>
      <c r="Z263" s="5">
        <v>15076.506100000001</v>
      </c>
      <c r="AA263" s="5">
        <v>5902.8230000000003</v>
      </c>
      <c r="AB263" s="5">
        <v>57534.91</v>
      </c>
      <c r="AC263" s="5">
        <v>1213.22</v>
      </c>
      <c r="AD263" s="5">
        <v>208.3382</v>
      </c>
    </row>
    <row r="264" spans="5:30" ht="15">
      <c r="E264" s="9">
        <v>42094</v>
      </c>
      <c r="F264" s="5">
        <v>198.81</v>
      </c>
      <c r="G264" s="5">
        <v>483.68270000000001</v>
      </c>
      <c r="H264" s="5">
        <v>799.2011</v>
      </c>
      <c r="I264" s="5">
        <v>1945.63</v>
      </c>
      <c r="J264" s="5">
        <v>484.32580000000002</v>
      </c>
      <c r="K264" s="5">
        <v>1989.99</v>
      </c>
      <c r="L264" s="5">
        <v>2647.34</v>
      </c>
      <c r="M264" s="5">
        <v>2662.82</v>
      </c>
      <c r="N264" s="5">
        <v>2603.08</v>
      </c>
      <c r="O264" s="5">
        <v>2814.69</v>
      </c>
      <c r="P264" s="5">
        <v>1661.89</v>
      </c>
      <c r="Q264" s="5">
        <v>676.22</v>
      </c>
      <c r="R264" s="5">
        <v>2067.89</v>
      </c>
      <c r="S264" s="5">
        <v>1740.81</v>
      </c>
      <c r="T264" s="5">
        <v>424.76</v>
      </c>
      <c r="U264" s="5">
        <v>974.57</v>
      </c>
      <c r="V264" s="5">
        <v>5307.33</v>
      </c>
      <c r="W264" s="5">
        <v>14319.3169</v>
      </c>
      <c r="X264" s="5">
        <v>18323.758099999999</v>
      </c>
      <c r="Y264" s="5">
        <v>10693.9908</v>
      </c>
      <c r="Z264" s="5">
        <v>15161.163200000001</v>
      </c>
      <c r="AA264" s="5">
        <v>5962.1170000000002</v>
      </c>
      <c r="AB264" s="5">
        <v>58232.71</v>
      </c>
      <c r="AC264" s="5">
        <v>1183.67</v>
      </c>
      <c r="AD264" s="5">
        <v>197.63730000000001</v>
      </c>
    </row>
    <row r="265" spans="5:30" ht="15">
      <c r="E265" s="9">
        <v>42124</v>
      </c>
      <c r="F265" s="5">
        <v>198.85</v>
      </c>
      <c r="G265" s="5">
        <v>483.8836</v>
      </c>
      <c r="H265" s="5">
        <v>795.06759999999997</v>
      </c>
      <c r="I265" s="5">
        <v>1938.65</v>
      </c>
      <c r="J265" s="5">
        <v>481.61790000000002</v>
      </c>
      <c r="K265" s="5">
        <v>1990.82</v>
      </c>
      <c r="L265" s="5">
        <v>2628.8</v>
      </c>
      <c r="M265" s="5">
        <v>2641.62</v>
      </c>
      <c r="N265" s="5">
        <v>2593.1799999999998</v>
      </c>
      <c r="O265" s="5">
        <v>2777.79</v>
      </c>
      <c r="P265" s="5">
        <v>1681.95</v>
      </c>
      <c r="Q265" s="5">
        <v>689.55</v>
      </c>
      <c r="R265" s="5">
        <v>2085.5100000000002</v>
      </c>
      <c r="S265" s="5">
        <v>1778.4</v>
      </c>
      <c r="T265" s="5">
        <v>436.3</v>
      </c>
      <c r="U265" s="5">
        <v>1047.78</v>
      </c>
      <c r="V265" s="5">
        <v>5306.3010000000004</v>
      </c>
      <c r="W265" s="5">
        <v>14499.8321</v>
      </c>
      <c r="X265" s="5">
        <v>18657.8161</v>
      </c>
      <c r="Y265" s="5">
        <v>10809.5862</v>
      </c>
      <c r="Z265" s="5">
        <v>14980.096</v>
      </c>
      <c r="AA265" s="5">
        <v>5683.5990000000002</v>
      </c>
      <c r="AB265" s="5">
        <v>56640.45</v>
      </c>
      <c r="AC265" s="5">
        <v>1184.3699999999999</v>
      </c>
      <c r="AD265" s="5">
        <v>208.96950000000001</v>
      </c>
    </row>
    <row r="266" spans="5:30" ht="15">
      <c r="E266" s="9">
        <v>42153</v>
      </c>
      <c r="F266" s="5">
        <v>198.86</v>
      </c>
      <c r="G266" s="5">
        <v>484.2466</v>
      </c>
      <c r="H266" s="5">
        <v>793.62750000000005</v>
      </c>
      <c r="I266" s="5">
        <v>1933.98</v>
      </c>
      <c r="J266" s="5">
        <v>479.62150000000003</v>
      </c>
      <c r="K266" s="5">
        <v>1990.36</v>
      </c>
      <c r="L266" s="5">
        <v>2611.64</v>
      </c>
      <c r="M266" s="5">
        <v>2620.9899999999998</v>
      </c>
      <c r="N266" s="5">
        <v>2587.81</v>
      </c>
      <c r="O266" s="5">
        <v>2734.52</v>
      </c>
      <c r="P266" s="5">
        <v>1687.05</v>
      </c>
      <c r="Q266" s="5">
        <v>685.85</v>
      </c>
      <c r="R266" s="5">
        <v>2107.39</v>
      </c>
      <c r="S266" s="5">
        <v>1779.31</v>
      </c>
      <c r="T266" s="5">
        <v>434.51</v>
      </c>
      <c r="U266" s="5">
        <v>1004.22</v>
      </c>
      <c r="V266" s="5">
        <v>5355.9299000000001</v>
      </c>
      <c r="W266" s="5">
        <v>14598.0885</v>
      </c>
      <c r="X266" s="5">
        <v>18836.1937</v>
      </c>
      <c r="Y266" s="5">
        <v>10850.8886</v>
      </c>
      <c r="Z266" s="5">
        <v>14972.890299999999</v>
      </c>
      <c r="AA266" s="5">
        <v>5673.8320000000003</v>
      </c>
      <c r="AB266" s="5">
        <v>58418.879999999997</v>
      </c>
      <c r="AC266" s="5">
        <v>1190.55</v>
      </c>
      <c r="AD266" s="5">
        <v>203.3312</v>
      </c>
    </row>
    <row r="267" spans="5:30" ht="15">
      <c r="E267" s="9">
        <v>42185</v>
      </c>
      <c r="F267" s="5">
        <v>198.87</v>
      </c>
      <c r="G267" s="5">
        <v>484.37369999999999</v>
      </c>
      <c r="H267" s="5">
        <v>786.72919999999999</v>
      </c>
      <c r="I267" s="5">
        <v>1912.89</v>
      </c>
      <c r="J267" s="5">
        <v>473.69290000000001</v>
      </c>
      <c r="K267" s="5">
        <v>1975.18</v>
      </c>
      <c r="L267" s="5">
        <v>2563.64</v>
      </c>
      <c r="M267" s="5">
        <v>2569.65</v>
      </c>
      <c r="N267" s="5">
        <v>2548.9</v>
      </c>
      <c r="O267" s="5">
        <v>2670.86</v>
      </c>
      <c r="P267" s="5">
        <v>1661.94</v>
      </c>
      <c r="Q267" s="5">
        <v>674.24</v>
      </c>
      <c r="R267" s="5">
        <v>2063.11</v>
      </c>
      <c r="S267" s="5">
        <v>1735.61</v>
      </c>
      <c r="T267" s="5">
        <v>423.51</v>
      </c>
      <c r="U267" s="5">
        <v>972.25</v>
      </c>
      <c r="V267" s="5">
        <v>5297.1172999999999</v>
      </c>
      <c r="W267" s="5">
        <v>14405.014800000001</v>
      </c>
      <c r="X267" s="5">
        <v>18660.248899999999</v>
      </c>
      <c r="Y267" s="5">
        <v>10777.9944</v>
      </c>
      <c r="Z267" s="5">
        <v>14626.769899999999</v>
      </c>
      <c r="AA267" s="5">
        <v>5428.652</v>
      </c>
      <c r="AB267" s="5">
        <v>59272.54</v>
      </c>
      <c r="AC267" s="5">
        <v>1172.42</v>
      </c>
      <c r="AD267" s="5">
        <v>206.84360000000001</v>
      </c>
    </row>
    <row r="268" spans="5:30" ht="15">
      <c r="E268" s="9">
        <v>42216</v>
      </c>
      <c r="F268" s="5">
        <v>198.87</v>
      </c>
      <c r="G268" s="5">
        <v>484.60219999999998</v>
      </c>
      <c r="H268" s="5">
        <v>793.15639999999996</v>
      </c>
      <c r="I268" s="5">
        <v>1926.19</v>
      </c>
      <c r="J268" s="5">
        <v>478.3845</v>
      </c>
      <c r="K268" s="5">
        <v>1987.63</v>
      </c>
      <c r="L268" s="5">
        <v>2580.9499999999998</v>
      </c>
      <c r="M268" s="5">
        <v>2583.7199999999998</v>
      </c>
      <c r="N268" s="5">
        <v>2568.0100000000002</v>
      </c>
      <c r="O268" s="5">
        <v>2708.06</v>
      </c>
      <c r="P268" s="5">
        <v>1652.26</v>
      </c>
      <c r="Q268" s="5">
        <v>677.01</v>
      </c>
      <c r="R268" s="5">
        <v>2103.84</v>
      </c>
      <c r="S268" s="5">
        <v>1765.6</v>
      </c>
      <c r="T268" s="5">
        <v>426.78</v>
      </c>
      <c r="U268" s="5">
        <v>901.68</v>
      </c>
      <c r="V268" s="5">
        <v>5322.8918000000003</v>
      </c>
      <c r="W268" s="5">
        <v>14262.780199999999</v>
      </c>
      <c r="X268" s="5">
        <v>18439.312699999999</v>
      </c>
      <c r="Y268" s="5">
        <v>10752.069600000001</v>
      </c>
      <c r="Z268" s="5">
        <v>14757.0355</v>
      </c>
      <c r="AA268" s="5">
        <v>5692.2860000000001</v>
      </c>
      <c r="AB268" s="5">
        <v>58759.43</v>
      </c>
      <c r="AC268" s="5">
        <v>1095.82</v>
      </c>
      <c r="AD268" s="5">
        <v>184.87880000000001</v>
      </c>
    </row>
    <row r="269" spans="5:30" ht="15">
      <c r="E269" s="9">
        <v>42247</v>
      </c>
      <c r="F269" s="5">
        <v>198.88</v>
      </c>
      <c r="G269" s="5">
        <v>484.40109999999999</v>
      </c>
      <c r="H269" s="5">
        <v>793.57550000000003</v>
      </c>
      <c r="I269" s="5">
        <v>1923.42</v>
      </c>
      <c r="J269" s="5">
        <v>477.09129999999999</v>
      </c>
      <c r="K269" s="5">
        <v>1989.31</v>
      </c>
      <c r="L269" s="5">
        <v>2565.67</v>
      </c>
      <c r="M269" s="5">
        <v>2562.52</v>
      </c>
      <c r="N269" s="5">
        <v>2563.9699999999998</v>
      </c>
      <c r="O269" s="5">
        <v>2691.02</v>
      </c>
      <c r="P269" s="5">
        <v>1623.48</v>
      </c>
      <c r="Q269" s="5">
        <v>669.73</v>
      </c>
      <c r="R269" s="5">
        <v>1972.18</v>
      </c>
      <c r="S269" s="5">
        <v>1645.43</v>
      </c>
      <c r="T269" s="5">
        <v>396.73</v>
      </c>
      <c r="U269" s="5">
        <v>818.73</v>
      </c>
      <c r="V269" s="5">
        <v>5233.5484999999999</v>
      </c>
      <c r="W269" s="5">
        <v>13947.918100000001</v>
      </c>
      <c r="X269" s="5">
        <v>17835.3442</v>
      </c>
      <c r="Y269" s="5">
        <v>10616.7847</v>
      </c>
      <c r="Z269" s="5">
        <v>14520.1258</v>
      </c>
      <c r="AA269" s="5">
        <v>5369.701</v>
      </c>
      <c r="AB269" s="5">
        <v>55128.05</v>
      </c>
      <c r="AC269" s="5">
        <v>1134.81</v>
      </c>
      <c r="AD269" s="5">
        <v>183.18020000000001</v>
      </c>
    </row>
    <row r="270" spans="5:30" ht="15">
      <c r="E270" s="9">
        <v>42277</v>
      </c>
      <c r="F270" s="5">
        <v>198.96</v>
      </c>
      <c r="G270" s="5">
        <v>485.80059999999997</v>
      </c>
      <c r="H270" s="5">
        <v>800.30229999999995</v>
      </c>
      <c r="I270" s="5">
        <v>1936.43</v>
      </c>
      <c r="J270" s="5">
        <v>479.92090000000002</v>
      </c>
      <c r="K270" s="5">
        <v>2000.94</v>
      </c>
      <c r="L270" s="5">
        <v>2584.8000000000002</v>
      </c>
      <c r="M270" s="5">
        <v>2577.81</v>
      </c>
      <c r="N270" s="5">
        <v>2587.38</v>
      </c>
      <c r="O270" s="5">
        <v>2723.54</v>
      </c>
      <c r="P270" s="5">
        <v>1581.23</v>
      </c>
      <c r="Q270" s="5">
        <v>660.48</v>
      </c>
      <c r="R270" s="5">
        <v>1920.03</v>
      </c>
      <c r="S270" s="5">
        <v>1581.92</v>
      </c>
      <c r="T270" s="5">
        <v>381.65</v>
      </c>
      <c r="U270" s="5">
        <v>792.05</v>
      </c>
      <c r="V270" s="5">
        <v>5141.4201999999996</v>
      </c>
      <c r="W270" s="5">
        <v>13618.8349</v>
      </c>
      <c r="X270" s="5">
        <v>17491.826499999999</v>
      </c>
      <c r="Y270" s="5">
        <v>10498.8698</v>
      </c>
      <c r="Z270" s="5">
        <v>14513.8194</v>
      </c>
      <c r="AA270" s="5">
        <v>5468.22</v>
      </c>
      <c r="AB270" s="5">
        <v>51937.41</v>
      </c>
      <c r="AC270" s="5">
        <v>1115.07</v>
      </c>
      <c r="AD270" s="5">
        <v>176.92060000000001</v>
      </c>
    </row>
    <row r="271" spans="5:30" ht="15">
      <c r="E271" s="9">
        <v>42307</v>
      </c>
      <c r="F271" s="5">
        <v>198.93</v>
      </c>
      <c r="G271" s="5">
        <v>485.33319999999998</v>
      </c>
      <c r="H271" s="5">
        <v>797.48249999999996</v>
      </c>
      <c r="I271" s="5">
        <v>1936.76</v>
      </c>
      <c r="J271" s="5">
        <v>481.47739999999999</v>
      </c>
      <c r="K271" s="5">
        <v>2002.26</v>
      </c>
      <c r="L271" s="5">
        <v>2595.6</v>
      </c>
      <c r="M271" s="5">
        <v>2591.19</v>
      </c>
      <c r="N271" s="5">
        <v>2594.9299999999998</v>
      </c>
      <c r="O271" s="5">
        <v>2727.84</v>
      </c>
      <c r="P271" s="5">
        <v>1624.7</v>
      </c>
      <c r="Q271" s="5">
        <v>681.34</v>
      </c>
      <c r="R271" s="5">
        <v>2079.36</v>
      </c>
      <c r="S271" s="5">
        <v>1705.8</v>
      </c>
      <c r="T271" s="5">
        <v>411.25</v>
      </c>
      <c r="U271" s="5">
        <v>847.84</v>
      </c>
      <c r="V271" s="5">
        <v>5175.1019999999999</v>
      </c>
      <c r="W271" s="5">
        <v>13802.383599999999</v>
      </c>
      <c r="X271" s="5">
        <v>18011.3923</v>
      </c>
      <c r="Y271" s="5">
        <v>10603.1404</v>
      </c>
      <c r="Z271" s="5">
        <v>14501.5378</v>
      </c>
      <c r="AA271" s="5">
        <v>5799.0209999999997</v>
      </c>
      <c r="AB271" s="5">
        <v>53990.92</v>
      </c>
      <c r="AC271" s="5">
        <v>1142.1600000000001</v>
      </c>
      <c r="AD271" s="5">
        <v>176.13120000000001</v>
      </c>
    </row>
    <row r="272" spans="5:30" ht="15">
      <c r="E272" s="9">
        <v>42338</v>
      </c>
      <c r="F272" s="5">
        <v>198.91</v>
      </c>
      <c r="G272" s="5">
        <v>484.16120000000001</v>
      </c>
      <c r="H272" s="5">
        <v>794.26469999999995</v>
      </c>
      <c r="I272" s="5">
        <v>1931.64</v>
      </c>
      <c r="J272" s="5">
        <v>481.69909999999999</v>
      </c>
      <c r="K272" s="5">
        <v>1999.54</v>
      </c>
      <c r="L272" s="5">
        <v>2589.92</v>
      </c>
      <c r="M272" s="5">
        <v>2581.6799999999998</v>
      </c>
      <c r="N272" s="5">
        <v>2597.42</v>
      </c>
      <c r="O272" s="5">
        <v>2717.15</v>
      </c>
      <c r="P272" s="5">
        <v>1588.59</v>
      </c>
      <c r="Q272" s="5">
        <v>680.95</v>
      </c>
      <c r="R272" s="5">
        <v>2080.41</v>
      </c>
      <c r="S272" s="5">
        <v>1694.4</v>
      </c>
      <c r="T272" s="5">
        <v>407.2</v>
      </c>
      <c r="U272" s="5">
        <v>814.3</v>
      </c>
      <c r="V272" s="5">
        <v>5198.6408000000001</v>
      </c>
      <c r="W272" s="5">
        <v>13702.769200000001</v>
      </c>
      <c r="X272" s="5">
        <v>18003.293600000001</v>
      </c>
      <c r="Y272" s="5">
        <v>10570.2533</v>
      </c>
      <c r="Z272" s="5">
        <v>14702.662</v>
      </c>
      <c r="AA272" s="5">
        <v>5792.9219999999996</v>
      </c>
      <c r="AB272" s="5">
        <v>56304.800000000003</v>
      </c>
      <c r="AC272" s="5">
        <v>1064.77</v>
      </c>
      <c r="AD272" s="5">
        <v>163.35419999999999</v>
      </c>
    </row>
    <row r="273" spans="5:30" ht="15">
      <c r="E273" s="9">
        <v>42369</v>
      </c>
      <c r="F273" s="5">
        <v>198.95</v>
      </c>
      <c r="G273" s="5">
        <v>483.6902</v>
      </c>
      <c r="H273" s="5">
        <v>792.96979999999996</v>
      </c>
      <c r="I273" s="5">
        <v>1925.4</v>
      </c>
      <c r="J273" s="5">
        <v>480.3956</v>
      </c>
      <c r="K273" s="5">
        <v>1998.89</v>
      </c>
      <c r="L273" s="5">
        <v>2569.73</v>
      </c>
      <c r="M273" s="5">
        <v>2553.0500000000002</v>
      </c>
      <c r="N273" s="5">
        <v>2591.02</v>
      </c>
      <c r="O273" s="5">
        <v>2705.67</v>
      </c>
      <c r="P273" s="5">
        <v>1548.58</v>
      </c>
      <c r="Q273" s="5">
        <v>670.71</v>
      </c>
      <c r="R273" s="5">
        <v>2043.94</v>
      </c>
      <c r="S273" s="5">
        <v>1662.79</v>
      </c>
      <c r="T273" s="5">
        <v>399.36</v>
      </c>
      <c r="U273" s="5">
        <v>794.14</v>
      </c>
      <c r="V273" s="5">
        <v>5162.8549999999996</v>
      </c>
      <c r="W273" s="5">
        <v>13565.28</v>
      </c>
      <c r="X273" s="5">
        <v>17795.703000000001</v>
      </c>
      <c r="Y273" s="5">
        <v>10473.073</v>
      </c>
      <c r="Z273" s="5">
        <v>14493.355</v>
      </c>
      <c r="AA273" s="5">
        <v>5858.1440000000002</v>
      </c>
      <c r="AB273" s="5">
        <v>53564.160000000003</v>
      </c>
      <c r="AC273" s="5">
        <v>1061.4100000000001</v>
      </c>
      <c r="AD273" s="5">
        <v>158.3135</v>
      </c>
    </row>
    <row r="274" spans="5:30" ht="15">
      <c r="E274" s="9">
        <v>42398</v>
      </c>
      <c r="F274" s="5">
        <v>199.01</v>
      </c>
      <c r="G274" s="5">
        <v>486.5573</v>
      </c>
      <c r="H274" s="5">
        <v>809.56460000000004</v>
      </c>
      <c r="I274" s="5">
        <v>1951.89</v>
      </c>
      <c r="J274" s="5">
        <v>487.42309999999998</v>
      </c>
      <c r="K274" s="5">
        <v>2024.83</v>
      </c>
      <c r="L274" s="5">
        <v>2578.84</v>
      </c>
      <c r="M274" s="5">
        <v>2551.85</v>
      </c>
      <c r="N274" s="5">
        <v>2608.92</v>
      </c>
      <c r="O274" s="5">
        <v>2766.02</v>
      </c>
      <c r="P274" s="5">
        <v>1523.69</v>
      </c>
      <c r="Q274" s="5">
        <v>669.38</v>
      </c>
      <c r="R274" s="5">
        <v>1940.24</v>
      </c>
      <c r="S274" s="5">
        <v>1562.18</v>
      </c>
      <c r="T274" s="5">
        <v>375.02</v>
      </c>
      <c r="U274" s="5">
        <v>742.37</v>
      </c>
      <c r="V274" s="5">
        <v>5060.5349999999999</v>
      </c>
      <c r="W274" s="5">
        <v>13135.934999999999</v>
      </c>
      <c r="X274" s="5">
        <v>16980.249</v>
      </c>
      <c r="Y274" s="5">
        <v>10302.348</v>
      </c>
      <c r="Z274" s="5">
        <v>14641.386</v>
      </c>
      <c r="AA274" s="5">
        <v>5646.2139999999999</v>
      </c>
      <c r="AB274" s="5">
        <v>47726.14</v>
      </c>
      <c r="AC274" s="5">
        <v>1118.17</v>
      </c>
      <c r="AD274" s="5">
        <v>155.65280000000001</v>
      </c>
    </row>
    <row r="275" spans="5:30" ht="15">
      <c r="E275" s="9">
        <v>42429</v>
      </c>
      <c r="F275" s="5">
        <v>199.06</v>
      </c>
      <c r="G275" s="5">
        <v>487.05040000000002</v>
      </c>
      <c r="H275" s="5">
        <v>816.77430000000004</v>
      </c>
      <c r="I275" s="5">
        <v>1965.74</v>
      </c>
      <c r="J275" s="5">
        <v>492.10809999999998</v>
      </c>
      <c r="K275" s="5">
        <v>2032.39</v>
      </c>
      <c r="L275" s="5">
        <v>2599.67</v>
      </c>
      <c r="M275" s="5">
        <v>2583.1</v>
      </c>
      <c r="N275" s="5">
        <v>2604.7199999999998</v>
      </c>
      <c r="O275" s="5">
        <v>2804.95</v>
      </c>
      <c r="P275" s="5">
        <v>1532.4</v>
      </c>
      <c r="Q275" s="5">
        <v>682.91</v>
      </c>
      <c r="R275" s="5">
        <v>1932.23</v>
      </c>
      <c r="S275" s="5">
        <v>1547.17</v>
      </c>
      <c r="T275" s="5">
        <v>371.66</v>
      </c>
      <c r="U275" s="5">
        <v>740.33</v>
      </c>
      <c r="V275" s="5">
        <v>5006.518</v>
      </c>
      <c r="W275" s="5">
        <v>13067.718999999999</v>
      </c>
      <c r="X275" s="5">
        <v>16904.146000000001</v>
      </c>
      <c r="Y275" s="5">
        <v>10245.454</v>
      </c>
      <c r="Z275" s="5">
        <v>14858.856</v>
      </c>
      <c r="AA275" s="5">
        <v>5631.973</v>
      </c>
      <c r="AB275" s="5">
        <v>47172.24</v>
      </c>
      <c r="AC275" s="5">
        <v>1238.74</v>
      </c>
      <c r="AD275" s="5">
        <v>153.12100000000001</v>
      </c>
    </row>
    <row r="276" spans="5:30" ht="15">
      <c r="E276" s="9">
        <v>42460</v>
      </c>
      <c r="F276" s="5">
        <v>199.18</v>
      </c>
      <c r="G276" s="5">
        <v>487.8526</v>
      </c>
      <c r="H276" s="5">
        <v>817.96519999999998</v>
      </c>
      <c r="I276" s="5">
        <v>1983.77</v>
      </c>
      <c r="J276" s="5">
        <v>496.15940000000001</v>
      </c>
      <c r="K276" s="5">
        <v>2038.4</v>
      </c>
      <c r="L276" s="5">
        <v>2671.78</v>
      </c>
      <c r="M276" s="5">
        <v>2673.23</v>
      </c>
      <c r="N276" s="5">
        <v>2649.49</v>
      </c>
      <c r="O276" s="5">
        <v>2840.39</v>
      </c>
      <c r="P276" s="5">
        <v>1600.51</v>
      </c>
      <c r="Q276" s="5">
        <v>705.69</v>
      </c>
      <c r="R276" s="5">
        <v>2059.7399999999998</v>
      </c>
      <c r="S276" s="5">
        <v>1648.12</v>
      </c>
      <c r="T276" s="5">
        <v>398.26</v>
      </c>
      <c r="U276" s="5">
        <v>836.8</v>
      </c>
      <c r="V276" s="5">
        <v>5015.95</v>
      </c>
      <c r="W276" s="5">
        <v>13468.53</v>
      </c>
      <c r="X276" s="5">
        <v>17481.580000000002</v>
      </c>
      <c r="Y276" s="5">
        <v>10437.519</v>
      </c>
      <c r="Z276" s="5">
        <v>14718.331</v>
      </c>
      <c r="AA276" s="5">
        <v>6194.9579999999996</v>
      </c>
      <c r="AB276" s="5">
        <v>49918.080000000002</v>
      </c>
      <c r="AC276" s="5">
        <v>1232.7</v>
      </c>
      <c r="AD276" s="5">
        <v>158.97280000000001</v>
      </c>
    </row>
    <row r="277" spans="5:30" ht="15">
      <c r="E277" s="9">
        <v>42489</v>
      </c>
      <c r="F277" s="5">
        <v>199.25</v>
      </c>
      <c r="G277" s="5">
        <v>488.0899</v>
      </c>
      <c r="H277" s="5">
        <v>817.11180000000002</v>
      </c>
      <c r="I277" s="5">
        <v>1991.39</v>
      </c>
      <c r="J277" s="5">
        <v>497.00189999999998</v>
      </c>
      <c r="K277" s="5">
        <v>2041.7</v>
      </c>
      <c r="L277" s="5">
        <v>2708.36</v>
      </c>
      <c r="M277" s="5">
        <v>2717.94</v>
      </c>
      <c r="N277" s="5">
        <v>2672.22</v>
      </c>
      <c r="O277" s="5">
        <v>2868.22</v>
      </c>
      <c r="P277" s="5">
        <v>1663.17</v>
      </c>
      <c r="Q277" s="5">
        <v>719.2</v>
      </c>
      <c r="R277" s="5">
        <v>2065.3000000000002</v>
      </c>
      <c r="S277" s="5">
        <v>1670.8</v>
      </c>
      <c r="T277" s="5">
        <v>403.34</v>
      </c>
      <c r="U277" s="5">
        <v>840.19</v>
      </c>
      <c r="V277" s="5">
        <v>5036.683</v>
      </c>
      <c r="W277" s="5">
        <v>13727.713</v>
      </c>
      <c r="X277" s="5">
        <v>17679.62</v>
      </c>
      <c r="Y277" s="5">
        <v>10603.647999999999</v>
      </c>
      <c r="Z277" s="5">
        <v>14706.415999999999</v>
      </c>
      <c r="AA277" s="5">
        <v>6094.6949999999997</v>
      </c>
      <c r="AB277" s="5">
        <v>51614.54</v>
      </c>
      <c r="AC277" s="5">
        <v>1293</v>
      </c>
      <c r="AD277" s="5">
        <v>172.50479999999999</v>
      </c>
    </row>
    <row r="278" spans="5:30" ht="15">
      <c r="E278" s="9">
        <v>42521</v>
      </c>
      <c r="F278" s="5">
        <v>199.26</v>
      </c>
      <c r="G278" s="5">
        <v>487.55239999999998</v>
      </c>
      <c r="H278" s="5">
        <v>817.15160000000003</v>
      </c>
      <c r="I278" s="5">
        <v>1991.9</v>
      </c>
      <c r="J278" s="5">
        <v>499.1028</v>
      </c>
      <c r="K278" s="5">
        <v>2044.34</v>
      </c>
      <c r="L278" s="5">
        <v>2706.27</v>
      </c>
      <c r="M278" s="5">
        <v>2710.14</v>
      </c>
      <c r="N278" s="5">
        <v>2675.29</v>
      </c>
      <c r="O278" s="5">
        <v>2892.59</v>
      </c>
      <c r="P278" s="5">
        <v>1673.44</v>
      </c>
      <c r="Q278" s="5">
        <v>717.06</v>
      </c>
      <c r="R278" s="5">
        <v>2096.96</v>
      </c>
      <c r="S278" s="5">
        <v>1674.61</v>
      </c>
      <c r="T278" s="5">
        <v>402.57</v>
      </c>
      <c r="U278" s="5">
        <v>807.45</v>
      </c>
      <c r="V278" s="5">
        <v>5059.8819999999996</v>
      </c>
      <c r="W278" s="5">
        <v>13869.259</v>
      </c>
      <c r="X278" s="5">
        <v>17791.745999999999</v>
      </c>
      <c r="Y278" s="5">
        <v>10696.745000000001</v>
      </c>
      <c r="Z278" s="5">
        <v>14570.16</v>
      </c>
      <c r="AA278" s="5">
        <v>6242.5069999999996</v>
      </c>
      <c r="AB278" s="5">
        <v>51823.79</v>
      </c>
      <c r="AC278" s="5">
        <v>1215.33</v>
      </c>
      <c r="AD278" s="5">
        <v>172.1789</v>
      </c>
    </row>
    <row r="279" spans="5:30" ht="15">
      <c r="E279" s="9">
        <v>42551</v>
      </c>
      <c r="F279" s="5">
        <v>199.38</v>
      </c>
      <c r="G279" s="5">
        <v>490.41359999999997</v>
      </c>
      <c r="H279" s="5">
        <v>835.25340000000006</v>
      </c>
      <c r="I279" s="5">
        <v>2027.69</v>
      </c>
      <c r="J279" s="5">
        <v>508.6037</v>
      </c>
      <c r="K279" s="5">
        <v>2060.9499999999998</v>
      </c>
      <c r="L279" s="5">
        <v>2767.19</v>
      </c>
      <c r="M279" s="5">
        <v>2780.56</v>
      </c>
      <c r="N279" s="5">
        <v>2714.32</v>
      </c>
      <c r="O279" s="5">
        <v>2969.76</v>
      </c>
      <c r="P279" s="5">
        <v>1688.84</v>
      </c>
      <c r="Q279" s="5">
        <v>743.81</v>
      </c>
      <c r="R279" s="5">
        <v>2098.86</v>
      </c>
      <c r="S279" s="5">
        <v>1653.23</v>
      </c>
      <c r="T279" s="5">
        <v>399.29</v>
      </c>
      <c r="U279" s="5">
        <v>834.1</v>
      </c>
      <c r="V279" s="5">
        <v>5038.9799999999996</v>
      </c>
      <c r="W279" s="5">
        <v>13861.343000000001</v>
      </c>
      <c r="X279" s="5">
        <v>17723.72</v>
      </c>
      <c r="Y279" s="5">
        <v>10752.344999999999</v>
      </c>
      <c r="Z279" s="5">
        <v>14893.581</v>
      </c>
      <c r="AA279" s="5">
        <v>6662.125</v>
      </c>
      <c r="AB279" s="5">
        <v>51002.91</v>
      </c>
      <c r="AC279" s="5">
        <v>1322.2</v>
      </c>
      <c r="AD279" s="5">
        <v>179.29130000000001</v>
      </c>
    </row>
    <row r="280" spans="5:30" ht="15">
      <c r="E280" s="9">
        <v>42580</v>
      </c>
      <c r="F280" s="5">
        <v>199.43</v>
      </c>
      <c r="G280" s="5">
        <v>490.15</v>
      </c>
      <c r="H280" s="5">
        <v>838.34</v>
      </c>
      <c r="I280" s="5">
        <v>2040.51</v>
      </c>
      <c r="J280" s="5">
        <v>511.64240000000001</v>
      </c>
      <c r="K280" s="5">
        <v>2065.17</v>
      </c>
      <c r="L280" s="5">
        <v>2807.62</v>
      </c>
      <c r="M280" s="5">
        <v>2824</v>
      </c>
      <c r="N280" s="5">
        <v>2747.01</v>
      </c>
      <c r="O280" s="5">
        <v>3019.48</v>
      </c>
      <c r="P280" s="5">
        <v>1734.5</v>
      </c>
      <c r="Q280" s="5">
        <v>755.38</v>
      </c>
      <c r="R280" s="5">
        <v>2173.6</v>
      </c>
      <c r="S280" s="5">
        <v>1721.79</v>
      </c>
      <c r="T280" s="5">
        <v>416.09</v>
      </c>
      <c r="U280" s="5">
        <v>873.47</v>
      </c>
      <c r="V280" s="5">
        <v>5108.2539999999999</v>
      </c>
      <c r="W280" s="5">
        <v>14122.633</v>
      </c>
      <c r="X280" s="5">
        <v>18195.080999999998</v>
      </c>
      <c r="Y280" s="5">
        <v>10882.986000000001</v>
      </c>
      <c r="Z280" s="5">
        <v>15011.659</v>
      </c>
      <c r="AA280" s="5">
        <v>6918.7129999999997</v>
      </c>
      <c r="AB280" s="5">
        <v>53779.06</v>
      </c>
      <c r="AC280" s="5">
        <v>1351</v>
      </c>
      <c r="AD280" s="5">
        <v>170.1268</v>
      </c>
    </row>
    <row r="281" spans="5:30" ht="15">
      <c r="E281" s="9">
        <v>42613</v>
      </c>
      <c r="F281" s="5">
        <v>199.47</v>
      </c>
      <c r="G281" s="5">
        <v>489.38990000000001</v>
      </c>
      <c r="H281" s="5">
        <v>833.83519999999999</v>
      </c>
      <c r="I281" s="5">
        <v>2038.18</v>
      </c>
      <c r="J281" s="5">
        <v>511.38159999999999</v>
      </c>
      <c r="K281" s="5">
        <v>2067.5500000000002</v>
      </c>
      <c r="L281" s="5">
        <v>2813.12</v>
      </c>
      <c r="M281" s="5">
        <v>2831.02</v>
      </c>
      <c r="N281" s="5">
        <v>2752.32</v>
      </c>
      <c r="O281" s="5">
        <v>3013.02</v>
      </c>
      <c r="P281" s="5">
        <v>1770.79</v>
      </c>
      <c r="Q281" s="5">
        <v>768.96</v>
      </c>
      <c r="R281" s="5">
        <v>2170.9499999999998</v>
      </c>
      <c r="S281" s="5">
        <v>1719.52</v>
      </c>
      <c r="T281" s="5">
        <v>416.61</v>
      </c>
      <c r="U281" s="5">
        <v>893.68</v>
      </c>
      <c r="V281" s="5">
        <v>5123.1220000000003</v>
      </c>
      <c r="W281" s="5">
        <v>14359.912</v>
      </c>
      <c r="X281" s="5">
        <v>18353.710999999999</v>
      </c>
      <c r="Y281" s="5">
        <v>10980.321</v>
      </c>
      <c r="Z281" s="5">
        <v>14790.36</v>
      </c>
      <c r="AA281" s="5">
        <v>6695.5439999999999</v>
      </c>
      <c r="AB281" s="5">
        <v>55115.42</v>
      </c>
      <c r="AC281" s="5">
        <v>1308.97</v>
      </c>
      <c r="AD281" s="5">
        <v>167.12899999999999</v>
      </c>
    </row>
    <row r="282" spans="5:30" ht="15">
      <c r="E282" s="9">
        <v>42643</v>
      </c>
      <c r="F282" s="5">
        <v>199.56</v>
      </c>
      <c r="G282" s="5">
        <v>489.95429999999999</v>
      </c>
      <c r="H282" s="5">
        <v>832.64469999999994</v>
      </c>
      <c r="I282" s="5">
        <v>2036.98</v>
      </c>
      <c r="J282" s="5">
        <v>511.32049999999998</v>
      </c>
      <c r="K282" s="5">
        <v>2073.2399999999998</v>
      </c>
      <c r="L282" s="5">
        <v>2806.15</v>
      </c>
      <c r="M282" s="5">
        <v>2824.51</v>
      </c>
      <c r="N282" s="5">
        <v>2747.09</v>
      </c>
      <c r="O282" s="5">
        <v>2994.37</v>
      </c>
      <c r="P282" s="5">
        <v>1782.59</v>
      </c>
      <c r="Q282" s="5">
        <v>771.57</v>
      </c>
      <c r="R282" s="5">
        <v>2168.27</v>
      </c>
      <c r="S282" s="5">
        <v>1725.67</v>
      </c>
      <c r="T282" s="5">
        <v>418.43</v>
      </c>
      <c r="U282" s="5">
        <v>903.46</v>
      </c>
      <c r="V282" s="5">
        <v>5128.3109999999997</v>
      </c>
      <c r="W282" s="5">
        <v>14484.44</v>
      </c>
      <c r="X282" s="5">
        <v>18536.491000000002</v>
      </c>
      <c r="Y282" s="5">
        <v>11070.737999999999</v>
      </c>
      <c r="Z282" s="5">
        <v>14739.405000000001</v>
      </c>
      <c r="AA282" s="5">
        <v>6603.6840000000002</v>
      </c>
      <c r="AB282" s="5">
        <v>57375.17</v>
      </c>
      <c r="AC282" s="5">
        <v>1315.75</v>
      </c>
      <c r="AD282" s="5">
        <v>172.36349999999999</v>
      </c>
    </row>
    <row r="283" spans="5:30" ht="15">
      <c r="E283" s="9">
        <v>42674</v>
      </c>
      <c r="F283" s="5">
        <v>199.62</v>
      </c>
      <c r="G283" s="5">
        <v>489.60410000000002</v>
      </c>
      <c r="H283" s="5">
        <v>823.62699999999995</v>
      </c>
      <c r="I283" s="5">
        <v>2021.4</v>
      </c>
      <c r="J283" s="5">
        <v>506.36270000000002</v>
      </c>
      <c r="K283" s="5">
        <v>2067.79</v>
      </c>
      <c r="L283" s="5">
        <v>2783.32</v>
      </c>
      <c r="M283" s="5">
        <v>2796.1</v>
      </c>
      <c r="N283" s="5">
        <v>2738.24</v>
      </c>
      <c r="O283" s="5">
        <v>2956.95</v>
      </c>
      <c r="P283" s="5">
        <v>1789.47</v>
      </c>
      <c r="Q283" s="5">
        <v>760.27</v>
      </c>
      <c r="R283" s="5">
        <v>2126.15</v>
      </c>
      <c r="S283" s="5">
        <v>1690.92</v>
      </c>
      <c r="T283" s="5">
        <v>411.01</v>
      </c>
      <c r="U283" s="5">
        <v>905.09</v>
      </c>
      <c r="V283" s="5">
        <v>5109.9979999999996</v>
      </c>
      <c r="W283" s="5">
        <v>14499.084000000001</v>
      </c>
      <c r="X283" s="5">
        <v>18388.035</v>
      </c>
      <c r="Y283" s="5">
        <v>11101.093999999999</v>
      </c>
      <c r="Z283" s="5">
        <v>14558.179</v>
      </c>
      <c r="AA283" s="5">
        <v>6284.26</v>
      </c>
      <c r="AB283" s="5">
        <v>53818.77</v>
      </c>
      <c r="AC283" s="5">
        <v>1277.3</v>
      </c>
      <c r="AD283" s="5">
        <v>171.5215</v>
      </c>
    </row>
    <row r="284" spans="5:30" ht="15">
      <c r="E284" s="9">
        <v>42704</v>
      </c>
      <c r="F284" s="5">
        <v>199.64</v>
      </c>
      <c r="G284" s="5">
        <v>487.6995</v>
      </c>
      <c r="H284" s="5">
        <v>801.96519999999998</v>
      </c>
      <c r="I284" s="5">
        <v>1973.59</v>
      </c>
      <c r="J284" s="5">
        <v>497.99959999999999</v>
      </c>
      <c r="K284" s="5">
        <v>2032.37</v>
      </c>
      <c r="L284" s="5">
        <v>2708.65</v>
      </c>
      <c r="M284" s="5">
        <v>2714.37</v>
      </c>
      <c r="N284" s="5">
        <v>2683.97</v>
      </c>
      <c r="O284" s="5">
        <v>2850.4</v>
      </c>
      <c r="P284" s="5">
        <v>1780.98</v>
      </c>
      <c r="Q284" s="5">
        <v>728.6</v>
      </c>
      <c r="R284" s="5">
        <v>2198.81</v>
      </c>
      <c r="S284" s="5">
        <v>1712.09</v>
      </c>
      <c r="T284" s="5">
        <v>413.43</v>
      </c>
      <c r="U284" s="5">
        <v>862.83</v>
      </c>
      <c r="V284" s="5">
        <v>5128.9769999999999</v>
      </c>
      <c r="W284" s="5">
        <v>14748.313</v>
      </c>
      <c r="X284" s="5">
        <v>18614.419999999998</v>
      </c>
      <c r="Y284" s="5">
        <v>11144.464</v>
      </c>
      <c r="Z284" s="5">
        <v>14513.279</v>
      </c>
      <c r="AA284" s="5">
        <v>6146.93</v>
      </c>
      <c r="AB284" s="5">
        <v>59332.3</v>
      </c>
      <c r="AC284" s="5">
        <v>1173.25</v>
      </c>
      <c r="AD284" s="5">
        <v>173.80879999999999</v>
      </c>
    </row>
    <row r="285" spans="5:30" ht="15">
      <c r="E285" s="9">
        <v>42734</v>
      </c>
      <c r="F285" s="5">
        <v>199.71</v>
      </c>
      <c r="G285" s="5">
        <v>487.8347</v>
      </c>
      <c r="H285" s="5">
        <v>801.12199999999996</v>
      </c>
      <c r="I285" s="5">
        <v>1976.37</v>
      </c>
      <c r="J285" s="5">
        <v>499.36419999999998</v>
      </c>
      <c r="K285" s="5">
        <v>2032.34</v>
      </c>
      <c r="L285" s="5">
        <v>2726.78</v>
      </c>
      <c r="M285" s="5">
        <v>2736.39</v>
      </c>
      <c r="N285" s="5">
        <v>2694.68</v>
      </c>
      <c r="O285" s="5">
        <v>2868.82</v>
      </c>
      <c r="P285" s="5">
        <v>1813.85</v>
      </c>
      <c r="Q285" s="5">
        <v>739.08</v>
      </c>
      <c r="R285" s="5">
        <v>2238.83</v>
      </c>
      <c r="S285" s="5">
        <v>1751.22</v>
      </c>
      <c r="T285" s="5">
        <v>421.84</v>
      </c>
      <c r="U285" s="5">
        <v>862.27</v>
      </c>
      <c r="V285" s="5">
        <v>5185.8779999999997</v>
      </c>
      <c r="W285" s="5">
        <v>14998.93</v>
      </c>
      <c r="X285" s="5">
        <v>18769.165000000001</v>
      </c>
      <c r="Y285" s="5">
        <v>11276.455</v>
      </c>
      <c r="Z285" s="5">
        <v>14643.26</v>
      </c>
      <c r="AA285" s="5">
        <v>6407.3389999999999</v>
      </c>
      <c r="AB285" s="5">
        <v>62058.32</v>
      </c>
      <c r="AC285" s="5">
        <v>1152.27</v>
      </c>
      <c r="AD285" s="5">
        <v>176.9417</v>
      </c>
    </row>
    <row r="286" spans="5:30" ht="15">
      <c r="E286" s="9">
        <v>42766</v>
      </c>
      <c r="F286" s="5">
        <v>199.83</v>
      </c>
      <c r="G286" s="5">
        <v>488.47649999999999</v>
      </c>
      <c r="H286" s="5">
        <v>802.92060000000004</v>
      </c>
      <c r="I286" s="5">
        <v>1980.25</v>
      </c>
      <c r="J286" s="5">
        <v>497.5453</v>
      </c>
      <c r="K286" s="5">
        <v>2031.65</v>
      </c>
      <c r="L286" s="5">
        <v>2735.18</v>
      </c>
      <c r="M286" s="5">
        <v>2743.93</v>
      </c>
      <c r="N286" s="5">
        <v>2703.68</v>
      </c>
      <c r="O286" s="5">
        <v>2882.06</v>
      </c>
      <c r="P286" s="5">
        <v>1840.19</v>
      </c>
      <c r="Q286" s="5">
        <v>749.69</v>
      </c>
      <c r="R286" s="5">
        <v>2278.87</v>
      </c>
      <c r="S286" s="5">
        <v>1792.4</v>
      </c>
      <c r="T286" s="5">
        <v>433.13</v>
      </c>
      <c r="U286" s="5">
        <v>909.23</v>
      </c>
      <c r="V286" s="5">
        <v>5224.8389999999999</v>
      </c>
      <c r="W286" s="5">
        <v>15221.752</v>
      </c>
      <c r="X286" s="5">
        <v>19118.981</v>
      </c>
      <c r="Y286" s="5">
        <v>11421.254999999999</v>
      </c>
      <c r="Z286" s="5">
        <v>14577.531999999999</v>
      </c>
      <c r="AA286" s="5">
        <v>6423.2659999999996</v>
      </c>
      <c r="AB286" s="5">
        <v>61555.89</v>
      </c>
      <c r="AC286" s="5">
        <v>1210.6500000000001</v>
      </c>
      <c r="AD286" s="5">
        <v>177.1814</v>
      </c>
    </row>
    <row r="287" spans="5:30" ht="15">
      <c r="E287" s="9">
        <v>42794</v>
      </c>
      <c r="F287" s="5">
        <v>199.92</v>
      </c>
      <c r="G287" s="5">
        <v>488.96010000000001</v>
      </c>
      <c r="H287" s="5">
        <v>806.86509999999998</v>
      </c>
      <c r="I287" s="5">
        <v>1993.56</v>
      </c>
      <c r="J287" s="5">
        <v>501.80459999999999</v>
      </c>
      <c r="K287" s="5">
        <v>2041.37</v>
      </c>
      <c r="L287" s="5">
        <v>2766.55</v>
      </c>
      <c r="M287" s="5">
        <v>2777.35</v>
      </c>
      <c r="N287" s="5">
        <v>2731.31</v>
      </c>
      <c r="O287" s="5">
        <v>2913.56</v>
      </c>
      <c r="P287" s="5">
        <v>1866.97</v>
      </c>
      <c r="Q287" s="5">
        <v>765.25</v>
      </c>
      <c r="R287" s="5">
        <v>2363.64</v>
      </c>
      <c r="S287" s="5">
        <v>1838.7</v>
      </c>
      <c r="T287" s="5">
        <v>444.5</v>
      </c>
      <c r="U287" s="5">
        <v>936.37</v>
      </c>
      <c r="V287" s="5">
        <v>5270.4189999999999</v>
      </c>
      <c r="W287" s="5">
        <v>15340.53</v>
      </c>
      <c r="X287" s="5">
        <v>19327.614000000001</v>
      </c>
      <c r="Y287" s="5">
        <v>11491.656999999999</v>
      </c>
      <c r="Z287" s="5">
        <v>14693.677</v>
      </c>
      <c r="AA287" s="5">
        <v>6687.3379999999997</v>
      </c>
      <c r="AB287" s="5">
        <v>62575.65</v>
      </c>
      <c r="AC287" s="5">
        <v>1248.33</v>
      </c>
      <c r="AD287" s="5">
        <v>177.5513</v>
      </c>
    </row>
    <row r="288" spans="5:30" ht="15">
      <c r="E288" s="9">
        <v>42825</v>
      </c>
      <c r="F288" s="5">
        <v>199.93</v>
      </c>
      <c r="G288" s="5">
        <v>489.13139999999999</v>
      </c>
      <c r="H288" s="5">
        <v>806.45640000000003</v>
      </c>
      <c r="I288" s="5">
        <v>1992.51</v>
      </c>
      <c r="J288" s="5">
        <v>501.57310000000001</v>
      </c>
      <c r="K288" s="5">
        <v>2041.95</v>
      </c>
      <c r="L288" s="5">
        <v>2760.12</v>
      </c>
      <c r="M288" s="5">
        <v>2769.92</v>
      </c>
      <c r="N288" s="5">
        <v>2729.15</v>
      </c>
      <c r="O288" s="5">
        <v>2896.75</v>
      </c>
      <c r="P288" s="5">
        <v>1862.81</v>
      </c>
      <c r="Q288" s="5">
        <v>767.91</v>
      </c>
      <c r="R288" s="5">
        <v>2362.7199999999998</v>
      </c>
      <c r="S288" s="5">
        <v>1853.69</v>
      </c>
      <c r="T288" s="5">
        <v>448.87</v>
      </c>
      <c r="U288" s="5">
        <v>958.37</v>
      </c>
      <c r="V288" s="5">
        <v>5284.2269999999999</v>
      </c>
      <c r="W288" s="5">
        <v>15364.123</v>
      </c>
      <c r="X288" s="5">
        <v>19496.115000000002</v>
      </c>
      <c r="Y288" s="5">
        <v>11526.587</v>
      </c>
      <c r="Z288" s="5">
        <v>14628.624</v>
      </c>
      <c r="AA288" s="5">
        <v>6599.9669999999996</v>
      </c>
      <c r="AB288" s="5">
        <v>63554.92</v>
      </c>
      <c r="AC288" s="5">
        <v>1249.3499999999999</v>
      </c>
      <c r="AD288" s="5">
        <v>172.82579999999999</v>
      </c>
    </row>
    <row r="289" spans="5:30" ht="15">
      <c r="E289" s="9">
        <v>42853</v>
      </c>
      <c r="F289" s="5">
        <v>200.06</v>
      </c>
      <c r="G289" s="5">
        <v>489.79070000000002</v>
      </c>
      <c r="H289" s="5">
        <v>812.01080000000002</v>
      </c>
      <c r="I289" s="5">
        <v>2007.89</v>
      </c>
      <c r="J289" s="5">
        <v>504.97449999999998</v>
      </c>
      <c r="K289" s="5">
        <v>2055.27</v>
      </c>
      <c r="L289" s="5">
        <v>2789.61</v>
      </c>
      <c r="M289" s="5">
        <v>2801.46</v>
      </c>
      <c r="N289" s="5">
        <v>2754.29</v>
      </c>
      <c r="O289" s="5">
        <v>2929.04</v>
      </c>
      <c r="P289" s="5">
        <v>1884.32</v>
      </c>
      <c r="Q289" s="5">
        <v>780.44</v>
      </c>
      <c r="R289" s="5">
        <v>2384.1999999999998</v>
      </c>
      <c r="S289" s="5">
        <v>1878.28</v>
      </c>
      <c r="T289" s="5">
        <v>455.17</v>
      </c>
      <c r="U289" s="5">
        <v>977.96</v>
      </c>
      <c r="V289" s="5">
        <v>5305.2389999999996</v>
      </c>
      <c r="W289" s="5">
        <v>15498.821</v>
      </c>
      <c r="X289" s="5">
        <v>19641.294000000002</v>
      </c>
      <c r="Y289" s="5">
        <v>11558.939</v>
      </c>
      <c r="Z289" s="5">
        <v>14648.539000000001</v>
      </c>
      <c r="AA289" s="5">
        <v>6640.2569999999996</v>
      </c>
      <c r="AB289" s="5">
        <v>64157.22</v>
      </c>
      <c r="AC289" s="5">
        <v>1268.29</v>
      </c>
      <c r="AD289" s="5">
        <v>170.22370000000001</v>
      </c>
    </row>
    <row r="290" spans="5:30" ht="15">
      <c r="E290" s="9">
        <v>42886</v>
      </c>
      <c r="F290" s="5">
        <v>200.16</v>
      </c>
      <c r="G290" s="5">
        <v>490.40620000000001</v>
      </c>
      <c r="H290" s="5">
        <v>817.29020000000003</v>
      </c>
      <c r="I290" s="5">
        <v>2023.34</v>
      </c>
      <c r="J290" s="5">
        <v>507.92189999999999</v>
      </c>
      <c r="K290" s="5">
        <v>2068.0300000000002</v>
      </c>
      <c r="L290" s="5">
        <v>2821.68</v>
      </c>
      <c r="M290" s="5">
        <v>2835.33</v>
      </c>
      <c r="N290" s="5">
        <v>2781.46</v>
      </c>
      <c r="O290" s="5">
        <v>2968.84</v>
      </c>
      <c r="P290" s="5">
        <v>1900.7</v>
      </c>
      <c r="Q290" s="5">
        <v>786.91</v>
      </c>
      <c r="R290" s="5">
        <v>2411.8000000000002</v>
      </c>
      <c r="S290" s="5">
        <v>1911.74</v>
      </c>
      <c r="T290" s="5">
        <v>463.79</v>
      </c>
      <c r="U290" s="5">
        <v>1005.33</v>
      </c>
      <c r="V290" s="5">
        <v>5317.93</v>
      </c>
      <c r="W290" s="5">
        <v>15519.83</v>
      </c>
      <c r="X290" s="5">
        <v>19707.448</v>
      </c>
      <c r="Y290" s="5">
        <v>11558.344999999999</v>
      </c>
      <c r="Z290" s="5">
        <v>14661.817999999999</v>
      </c>
      <c r="AA290" s="5">
        <v>6627.0349999999999</v>
      </c>
      <c r="AB290" s="5">
        <v>63361.55</v>
      </c>
      <c r="AC290" s="5">
        <v>1268.94</v>
      </c>
      <c r="AD290" s="5">
        <v>167.96270000000001</v>
      </c>
    </row>
    <row r="291" spans="5:30" ht="15">
      <c r="E291" s="9">
        <v>42916</v>
      </c>
      <c r="F291" s="5">
        <v>200.31</v>
      </c>
      <c r="G291" s="5">
        <v>489.99560000000002</v>
      </c>
      <c r="H291" s="5">
        <v>815.9787</v>
      </c>
      <c r="I291" s="5">
        <v>2021.31</v>
      </c>
      <c r="J291" s="5">
        <v>506.50029999999998</v>
      </c>
      <c r="K291" s="5">
        <v>2059.7199999999998</v>
      </c>
      <c r="L291" s="5">
        <v>2830.31</v>
      </c>
      <c r="M291" s="5">
        <v>2844.75</v>
      </c>
      <c r="N291" s="5">
        <v>2787.56</v>
      </c>
      <c r="O291" s="5">
        <v>2982.5</v>
      </c>
      <c r="P291" s="5">
        <v>1903.27</v>
      </c>
      <c r="Q291" s="5">
        <v>784.89</v>
      </c>
      <c r="R291" s="5">
        <v>2423.41</v>
      </c>
      <c r="S291" s="5">
        <v>1916.43</v>
      </c>
      <c r="T291" s="5">
        <v>465.09</v>
      </c>
      <c r="U291" s="5">
        <v>1010.8</v>
      </c>
      <c r="V291" s="5">
        <v>5304.1469999999999</v>
      </c>
      <c r="W291" s="5">
        <v>15598.662</v>
      </c>
      <c r="X291" s="5">
        <v>19874.946</v>
      </c>
      <c r="Y291" s="5">
        <v>11580.781999999999</v>
      </c>
      <c r="Z291" s="5">
        <v>14533.058000000001</v>
      </c>
      <c r="AA291" s="5">
        <v>6759.28</v>
      </c>
      <c r="AB291" s="5">
        <v>65688.899999999994</v>
      </c>
      <c r="AC291" s="5">
        <v>1241.55</v>
      </c>
      <c r="AD291" s="5">
        <v>167.63990000000001</v>
      </c>
    </row>
    <row r="292" spans="5:30" ht="15">
      <c r="E292" s="9">
        <v>42947</v>
      </c>
      <c r="F292" s="5">
        <v>200.48</v>
      </c>
      <c r="G292" s="5">
        <v>491.0498</v>
      </c>
      <c r="H292" s="5">
        <v>817.33069999999998</v>
      </c>
      <c r="I292" s="5">
        <v>2030.01</v>
      </c>
      <c r="J292" s="5">
        <v>508.16539999999998</v>
      </c>
      <c r="K292" s="5">
        <v>2069.0300000000002</v>
      </c>
      <c r="L292" s="5">
        <v>2851.01</v>
      </c>
      <c r="M292" s="5">
        <v>2865.23</v>
      </c>
      <c r="N292" s="5">
        <v>2807.98</v>
      </c>
      <c r="O292" s="5">
        <v>3007.22</v>
      </c>
      <c r="P292" s="5">
        <v>1924.35</v>
      </c>
      <c r="Q292" s="5">
        <v>790.05</v>
      </c>
      <c r="R292" s="5">
        <v>2470.3000000000002</v>
      </c>
      <c r="S292" s="5">
        <v>1961.1</v>
      </c>
      <c r="T292" s="5">
        <v>477.58</v>
      </c>
      <c r="U292" s="5">
        <v>1066.23</v>
      </c>
      <c r="V292" s="5">
        <v>5352.04</v>
      </c>
      <c r="W292" s="5">
        <v>15728.405000000001</v>
      </c>
      <c r="X292" s="5">
        <v>20166.798999999999</v>
      </c>
      <c r="Y292" s="5">
        <v>11662.468000000001</v>
      </c>
      <c r="Z292" s="5">
        <v>14626.146000000001</v>
      </c>
      <c r="AA292" s="5">
        <v>6841.5140000000001</v>
      </c>
      <c r="AB292" s="5">
        <v>65679.710000000006</v>
      </c>
      <c r="AC292" s="5">
        <v>1269.43</v>
      </c>
      <c r="AD292" s="5">
        <v>171.43039999999999</v>
      </c>
    </row>
    <row r="293" spans="5:30" ht="15">
      <c r="E293" s="9">
        <v>42978</v>
      </c>
      <c r="F293" s="5">
        <v>200.69</v>
      </c>
      <c r="G293" s="5">
        <v>491.98360000000002</v>
      </c>
      <c r="H293" s="5">
        <v>826.10320000000002</v>
      </c>
      <c r="I293" s="5">
        <v>2048.21</v>
      </c>
      <c r="J293" s="5">
        <v>512.79639999999995</v>
      </c>
      <c r="K293" s="5">
        <v>2084.15</v>
      </c>
      <c r="L293" s="5">
        <v>2873.15</v>
      </c>
      <c r="M293" s="5">
        <v>2884.97</v>
      </c>
      <c r="N293" s="5">
        <v>2829.87</v>
      </c>
      <c r="O293" s="5">
        <v>3053.96</v>
      </c>
      <c r="P293" s="5">
        <v>1923.6</v>
      </c>
      <c r="Q293" s="5">
        <v>803.7</v>
      </c>
      <c r="R293" s="5">
        <v>2471.65</v>
      </c>
      <c r="S293" s="5">
        <v>1959.74</v>
      </c>
      <c r="T293" s="5">
        <v>478.41</v>
      </c>
      <c r="U293" s="5">
        <v>1087.7</v>
      </c>
      <c r="V293" s="5">
        <v>5403.1710000000003</v>
      </c>
      <c r="W293" s="5">
        <v>15721.666999999999</v>
      </c>
      <c r="X293" s="5">
        <v>20288.827000000001</v>
      </c>
      <c r="Y293" s="5">
        <v>11680.933999999999</v>
      </c>
      <c r="Z293" s="5">
        <v>14741.620999999999</v>
      </c>
      <c r="AA293" s="5">
        <v>6888.9790000000003</v>
      </c>
      <c r="AB293" s="5">
        <v>64635.79</v>
      </c>
      <c r="AC293" s="5">
        <v>1321.4</v>
      </c>
      <c r="AD293" s="5">
        <v>172.12139999999999</v>
      </c>
    </row>
    <row r="294" spans="5:30" ht="15">
      <c r="E294" s="9">
        <v>43007</v>
      </c>
      <c r="F294" s="5">
        <v>200.85</v>
      </c>
      <c r="G294" s="5">
        <v>491.15629999999999</v>
      </c>
      <c r="H294" s="5">
        <v>819.08040000000005</v>
      </c>
      <c r="I294" s="5">
        <v>2038.46</v>
      </c>
      <c r="J294" s="5">
        <v>510.42919999999998</v>
      </c>
      <c r="K294" s="5">
        <v>2079.48</v>
      </c>
      <c r="L294" s="5">
        <v>2868.16</v>
      </c>
      <c r="M294" s="5">
        <v>2882.65</v>
      </c>
      <c r="N294" s="5">
        <v>2823.73</v>
      </c>
      <c r="O294" s="5">
        <v>3029.37</v>
      </c>
      <c r="P294" s="5">
        <v>1940.87</v>
      </c>
      <c r="Q294" s="5">
        <v>803.6</v>
      </c>
      <c r="R294" s="5">
        <v>2519.36</v>
      </c>
      <c r="S294" s="5">
        <v>2000.55</v>
      </c>
      <c r="T294" s="5">
        <v>486.88</v>
      </c>
      <c r="U294" s="5">
        <v>1081.72</v>
      </c>
      <c r="V294" s="5">
        <v>5430.5370000000003</v>
      </c>
      <c r="W294" s="5">
        <v>15833.404</v>
      </c>
      <c r="X294" s="5">
        <v>20572.704000000002</v>
      </c>
      <c r="Y294" s="5">
        <v>11730.933000000001</v>
      </c>
      <c r="Z294" s="5">
        <v>14613.785</v>
      </c>
      <c r="AA294" s="5">
        <v>6843.9790000000003</v>
      </c>
      <c r="AB294" s="5">
        <v>69868.759999999995</v>
      </c>
      <c r="AC294" s="5">
        <v>1280.1500000000001</v>
      </c>
      <c r="AD294" s="5">
        <v>171.8648</v>
      </c>
    </row>
    <row r="295" spans="5:30" ht="15">
      <c r="E295" s="9">
        <v>43039</v>
      </c>
      <c r="F295" s="5">
        <v>201.01</v>
      </c>
      <c r="G295" s="5">
        <v>490.84059999999999</v>
      </c>
      <c r="H295" s="5">
        <v>818.09630000000004</v>
      </c>
      <c r="I295" s="5">
        <v>2039.64</v>
      </c>
      <c r="J295" s="5">
        <v>512.58199999999999</v>
      </c>
      <c r="K295" s="5">
        <v>2078.83</v>
      </c>
      <c r="L295" s="5">
        <v>2879.74</v>
      </c>
      <c r="M295" s="5">
        <v>2895.01</v>
      </c>
      <c r="N295" s="5">
        <v>2832.36</v>
      </c>
      <c r="O295" s="5">
        <v>3048.22</v>
      </c>
      <c r="P295" s="5">
        <v>1949.07</v>
      </c>
      <c r="Q295" s="5">
        <v>805.04</v>
      </c>
      <c r="R295" s="5">
        <v>2575.2600000000002</v>
      </c>
      <c r="S295" s="5">
        <v>2036.8</v>
      </c>
      <c r="T295" s="5">
        <v>496.62</v>
      </c>
      <c r="U295" s="5">
        <v>1119.08</v>
      </c>
      <c r="V295" s="5">
        <v>5497.1930000000002</v>
      </c>
      <c r="W295" s="5">
        <v>15900.674000000001</v>
      </c>
      <c r="X295" s="5">
        <v>20788.236000000001</v>
      </c>
      <c r="Y295" s="5">
        <v>11751.012000000001</v>
      </c>
      <c r="Z295" s="5">
        <v>14901.084000000001</v>
      </c>
      <c r="AA295" s="5">
        <v>6839.0739999999996</v>
      </c>
      <c r="AB295" s="5">
        <v>69478.66</v>
      </c>
      <c r="AC295" s="5">
        <v>1271.08</v>
      </c>
      <c r="AD295" s="5">
        <v>175.55019999999999</v>
      </c>
    </row>
    <row r="296" spans="5:30" ht="15">
      <c r="E296" s="9">
        <v>43069</v>
      </c>
      <c r="F296" s="5">
        <v>201.16</v>
      </c>
      <c r="G296" s="5">
        <v>489.83780000000002</v>
      </c>
      <c r="H296" s="5">
        <v>817.01340000000005</v>
      </c>
      <c r="I296" s="5">
        <v>2037.02</v>
      </c>
      <c r="J296" s="5">
        <v>513.37609999999995</v>
      </c>
      <c r="K296" s="5">
        <v>2075.83</v>
      </c>
      <c r="L296" s="5">
        <v>2875.55</v>
      </c>
      <c r="M296" s="5">
        <v>2889.51</v>
      </c>
      <c r="N296" s="5">
        <v>2828.94</v>
      </c>
      <c r="O296" s="5">
        <v>3052.45</v>
      </c>
      <c r="P296" s="5">
        <v>1944.09</v>
      </c>
      <c r="Q296" s="5">
        <v>802.89</v>
      </c>
      <c r="R296" s="5">
        <v>2647.58</v>
      </c>
      <c r="S296" s="5">
        <v>2077.36</v>
      </c>
      <c r="T296" s="5">
        <v>505.44</v>
      </c>
      <c r="U296" s="5">
        <v>1120.79</v>
      </c>
      <c r="V296" s="5">
        <v>5493.59</v>
      </c>
      <c r="W296" s="5">
        <v>15922.777</v>
      </c>
      <c r="X296" s="5">
        <v>20990.402999999998</v>
      </c>
      <c r="Y296" s="5">
        <v>11759.612999999999</v>
      </c>
      <c r="Z296" s="5">
        <v>14872.476000000001</v>
      </c>
      <c r="AA296" s="5">
        <v>7012.1679999999997</v>
      </c>
      <c r="AB296" s="5">
        <v>71343.72</v>
      </c>
      <c r="AC296" s="5">
        <v>1274.94</v>
      </c>
      <c r="AD296" s="5">
        <v>174.74039999999999</v>
      </c>
    </row>
    <row r="297" spans="5:30" ht="15">
      <c r="E297" s="9">
        <v>43098</v>
      </c>
      <c r="F297" s="5">
        <v>201.35</v>
      </c>
      <c r="G297" s="5">
        <v>489.89080000000001</v>
      </c>
      <c r="H297" s="5">
        <v>819.53880000000004</v>
      </c>
      <c r="I297" s="5">
        <v>2046.37</v>
      </c>
      <c r="J297" s="5">
        <v>514.52369999999996</v>
      </c>
      <c r="K297" s="5">
        <v>2082.61</v>
      </c>
      <c r="L297" s="5">
        <v>2901.78</v>
      </c>
      <c r="M297" s="5">
        <v>2920.11</v>
      </c>
      <c r="N297" s="5">
        <v>2845.47</v>
      </c>
      <c r="O297" s="5">
        <v>3086.42</v>
      </c>
      <c r="P297" s="5">
        <v>1949.97</v>
      </c>
      <c r="Q297" s="5">
        <v>807.95</v>
      </c>
      <c r="R297" s="5">
        <v>2673.61</v>
      </c>
      <c r="S297" s="5">
        <v>2103.4499999999998</v>
      </c>
      <c r="T297" s="5">
        <v>513.03</v>
      </c>
      <c r="U297" s="5">
        <v>1158.45</v>
      </c>
      <c r="V297" s="5">
        <v>5542.0450000000001</v>
      </c>
      <c r="W297" s="5">
        <v>16136.599</v>
      </c>
      <c r="X297" s="5">
        <v>21262.911</v>
      </c>
      <c r="Y297" s="5">
        <v>11856.236000000001</v>
      </c>
      <c r="Z297" s="5">
        <v>14965.302</v>
      </c>
      <c r="AA297" s="5">
        <v>7002.8370000000004</v>
      </c>
      <c r="AB297" s="5">
        <v>71529.600000000006</v>
      </c>
      <c r="AC297" s="5">
        <v>1303.05</v>
      </c>
      <c r="AD297" s="5">
        <v>179.9572</v>
      </c>
    </row>
    <row r="298" spans="5:30" ht="15">
      <c r="E298" s="9">
        <v>43131</v>
      </c>
      <c r="F298" s="5">
        <v>201.58</v>
      </c>
      <c r="G298" s="5">
        <v>488.45179999999999</v>
      </c>
      <c r="H298" s="5">
        <v>808.52549999999997</v>
      </c>
      <c r="I298" s="5">
        <v>2022.8</v>
      </c>
      <c r="J298" s="5">
        <v>510.85059999999999</v>
      </c>
      <c r="K298" s="5">
        <v>2058.1999999999998</v>
      </c>
      <c r="L298" s="5">
        <v>2874.04</v>
      </c>
      <c r="M298" s="5">
        <v>2893.88</v>
      </c>
      <c r="N298" s="5">
        <v>2818.04</v>
      </c>
      <c r="O298" s="5">
        <v>3042.21</v>
      </c>
      <c r="P298" s="5">
        <v>1961.66</v>
      </c>
      <c r="Q298" s="5">
        <v>806.37</v>
      </c>
      <c r="R298" s="5">
        <v>2823.81</v>
      </c>
      <c r="S298" s="5">
        <v>2213.2399999999998</v>
      </c>
      <c r="T298" s="5">
        <v>541.66999999999996</v>
      </c>
      <c r="U298" s="5">
        <v>1254.5899999999999</v>
      </c>
      <c r="V298" s="5">
        <v>5674.3850000000002</v>
      </c>
      <c r="W298" s="5">
        <v>16342.723</v>
      </c>
      <c r="X298" s="5">
        <v>21866.993999999999</v>
      </c>
      <c r="Y298" s="5">
        <v>11992.679</v>
      </c>
      <c r="Z298" s="5">
        <v>15377.066999999999</v>
      </c>
      <c r="AA298" s="5">
        <v>6779.91</v>
      </c>
      <c r="AB298" s="5">
        <v>72658.05</v>
      </c>
      <c r="AC298" s="5">
        <v>1345.15</v>
      </c>
      <c r="AD298" s="5">
        <v>183.53100000000001</v>
      </c>
    </row>
    <row r="299" spans="5:30" ht="15">
      <c r="E299" s="9">
        <v>43159</v>
      </c>
      <c r="F299" s="5">
        <v>201.74</v>
      </c>
      <c r="G299" s="5">
        <v>488.2604</v>
      </c>
      <c r="H299" s="5">
        <v>802.44910000000004</v>
      </c>
      <c r="I299" s="5">
        <v>2003.63</v>
      </c>
      <c r="J299" s="5">
        <v>509.69880000000001</v>
      </c>
      <c r="K299" s="5">
        <v>2044.7</v>
      </c>
      <c r="L299" s="5">
        <v>2827.38</v>
      </c>
      <c r="M299" s="5">
        <v>2842.4</v>
      </c>
      <c r="N299" s="5">
        <v>2782.57</v>
      </c>
      <c r="O299" s="5">
        <v>2983.03</v>
      </c>
      <c r="P299" s="5">
        <v>1944.99</v>
      </c>
      <c r="Q299" s="5">
        <v>790.57</v>
      </c>
      <c r="R299" s="5">
        <v>2713.83</v>
      </c>
      <c r="S299" s="5">
        <v>2117.9899999999998</v>
      </c>
      <c r="T299" s="5">
        <v>518.08000000000004</v>
      </c>
      <c r="U299" s="5">
        <v>1195.19</v>
      </c>
      <c r="V299" s="5">
        <v>5573.6130000000003</v>
      </c>
      <c r="W299" s="5">
        <v>16236.387000000001</v>
      </c>
      <c r="X299" s="5">
        <v>21464.098000000002</v>
      </c>
      <c r="Y299" s="5">
        <v>11926.617</v>
      </c>
      <c r="Z299" s="5">
        <v>14807.789000000001</v>
      </c>
      <c r="AA299" s="5">
        <v>6302.598</v>
      </c>
      <c r="AB299" s="5">
        <v>70334.31</v>
      </c>
      <c r="AC299" s="5">
        <v>1318.38</v>
      </c>
      <c r="AD299" s="5">
        <v>180.3569</v>
      </c>
    </row>
    <row r="300" spans="5:30" ht="15">
      <c r="E300" s="9">
        <v>43189</v>
      </c>
      <c r="F300" s="5">
        <v>202.01</v>
      </c>
      <c r="G300" s="5">
        <v>489.21199999999999</v>
      </c>
      <c r="H300" s="5">
        <v>809.94269999999995</v>
      </c>
      <c r="I300" s="5">
        <v>2016.48</v>
      </c>
      <c r="J300" s="5">
        <v>513.92470000000003</v>
      </c>
      <c r="K300" s="5">
        <v>2057.7600000000002</v>
      </c>
      <c r="L300" s="5">
        <v>2834.54</v>
      </c>
      <c r="M300" s="5">
        <v>2852.64</v>
      </c>
      <c r="N300" s="5">
        <v>2782.54</v>
      </c>
      <c r="O300" s="5">
        <v>2997.77</v>
      </c>
      <c r="P300" s="5">
        <v>1933.24</v>
      </c>
      <c r="Q300" s="5">
        <v>793.55</v>
      </c>
      <c r="R300" s="5">
        <v>2640.87</v>
      </c>
      <c r="S300" s="5">
        <v>2066.84</v>
      </c>
      <c r="T300" s="5">
        <v>505.81</v>
      </c>
      <c r="U300" s="5">
        <v>1170.8800000000001</v>
      </c>
      <c r="V300" s="5">
        <v>5546.1840000000002</v>
      </c>
      <c r="W300" s="5">
        <v>16154.540999999999</v>
      </c>
      <c r="X300" s="5">
        <v>21328.697</v>
      </c>
      <c r="Y300" s="5">
        <v>11904.355</v>
      </c>
      <c r="Z300" s="5">
        <v>14725.814</v>
      </c>
      <c r="AA300" s="5">
        <v>6547.1540000000005</v>
      </c>
      <c r="AB300" s="5">
        <v>72007.81</v>
      </c>
      <c r="AC300" s="5">
        <v>1325</v>
      </c>
      <c r="AD300" s="5">
        <v>179.23599999999999</v>
      </c>
    </row>
    <row r="301" spans="5:30" ht="15">
      <c r="E301" s="9">
        <v>43220</v>
      </c>
      <c r="F301" s="5">
        <v>202.29</v>
      </c>
      <c r="G301" s="5">
        <v>488.4529</v>
      </c>
      <c r="H301" s="5">
        <v>803.50239999999997</v>
      </c>
      <c r="I301" s="5">
        <v>2001.48</v>
      </c>
      <c r="J301" s="5">
        <v>512.01250000000005</v>
      </c>
      <c r="K301" s="5">
        <v>2047.42</v>
      </c>
      <c r="L301" s="5">
        <v>2808.24</v>
      </c>
      <c r="M301" s="5">
        <v>2823.82</v>
      </c>
      <c r="N301" s="5">
        <v>2761.78</v>
      </c>
      <c r="O301" s="5">
        <v>2966.73</v>
      </c>
      <c r="P301" s="5">
        <v>1945.82</v>
      </c>
      <c r="Q301" s="5">
        <v>781.94</v>
      </c>
      <c r="R301" s="5">
        <v>2648.05</v>
      </c>
      <c r="S301" s="5">
        <v>2086.5100000000002</v>
      </c>
      <c r="T301" s="5">
        <v>509.69</v>
      </c>
      <c r="U301" s="5">
        <v>1164.43</v>
      </c>
      <c r="V301" s="5">
        <v>5558.8860000000004</v>
      </c>
      <c r="W301" s="5">
        <v>16203.722</v>
      </c>
      <c r="X301" s="5">
        <v>21399.882000000001</v>
      </c>
      <c r="Y301" s="5">
        <v>11985.558000000001</v>
      </c>
      <c r="Z301" s="5">
        <v>14761.24</v>
      </c>
      <c r="AA301" s="5">
        <v>6580.9430000000002</v>
      </c>
      <c r="AB301" s="5">
        <v>73218.25</v>
      </c>
      <c r="AC301" s="5">
        <v>1315.35</v>
      </c>
      <c r="AD301" s="5">
        <v>183.8683</v>
      </c>
    </row>
    <row r="302" spans="5:30" ht="15">
      <c r="E302" s="9">
        <v>43251</v>
      </c>
      <c r="F302" s="5">
        <v>202.6</v>
      </c>
      <c r="G302" s="5">
        <v>490.18450000000001</v>
      </c>
      <c r="H302" s="5">
        <v>810.68849999999998</v>
      </c>
      <c r="I302" s="5">
        <v>2015.76</v>
      </c>
      <c r="J302" s="5">
        <v>513.92539999999997</v>
      </c>
      <c r="K302" s="5">
        <v>2061.73</v>
      </c>
      <c r="L302" s="5">
        <v>2823.29</v>
      </c>
      <c r="M302" s="5">
        <v>2840.13</v>
      </c>
      <c r="N302" s="5">
        <v>2773.46</v>
      </c>
      <c r="O302" s="5">
        <v>2987.24</v>
      </c>
      <c r="P302" s="5">
        <v>1945.28</v>
      </c>
      <c r="Q302" s="5">
        <v>773.46</v>
      </c>
      <c r="R302" s="5">
        <v>2705.27</v>
      </c>
      <c r="S302" s="5">
        <v>2092.92</v>
      </c>
      <c r="T302" s="5">
        <v>508.77</v>
      </c>
      <c r="U302" s="5">
        <v>1120.71</v>
      </c>
      <c r="V302" s="5">
        <v>5597.7730000000001</v>
      </c>
      <c r="W302" s="5">
        <v>16373.888999999999</v>
      </c>
      <c r="X302" s="5">
        <v>21684.917000000001</v>
      </c>
      <c r="Y302" s="5">
        <v>12061.300999999999</v>
      </c>
      <c r="Z302" s="5">
        <v>14727.42</v>
      </c>
      <c r="AA302" s="5">
        <v>6814.442</v>
      </c>
      <c r="AB302" s="5">
        <v>78513.179999999993</v>
      </c>
      <c r="AC302" s="5">
        <v>1298.52</v>
      </c>
      <c r="AD302" s="5">
        <v>186.47309999999999</v>
      </c>
    </row>
    <row r="303" spans="5:30" ht="15">
      <c r="E303" s="9">
        <v>43280</v>
      </c>
      <c r="F303" s="5">
        <v>202.92</v>
      </c>
      <c r="G303" s="5">
        <v>490.28300000000002</v>
      </c>
      <c r="H303" s="5">
        <v>810.88729999999998</v>
      </c>
      <c r="I303" s="5">
        <v>2013.28</v>
      </c>
      <c r="J303" s="5">
        <v>514.88319999999999</v>
      </c>
      <c r="K303" s="5">
        <v>2062.73</v>
      </c>
      <c r="L303" s="5">
        <v>2806.89</v>
      </c>
      <c r="M303" s="5">
        <v>2820.99</v>
      </c>
      <c r="N303" s="5">
        <v>2764.69</v>
      </c>
      <c r="O303" s="5">
        <v>2957.87</v>
      </c>
      <c r="P303" s="5">
        <v>1953.09</v>
      </c>
      <c r="Q303" s="5">
        <v>765.69</v>
      </c>
      <c r="R303" s="5">
        <v>2718.37</v>
      </c>
      <c r="S303" s="5">
        <v>2089.3000000000002</v>
      </c>
      <c r="T303" s="5">
        <v>505.2</v>
      </c>
      <c r="U303" s="5">
        <v>1069.52</v>
      </c>
      <c r="V303" s="5">
        <v>5581.0280000000002</v>
      </c>
      <c r="W303" s="5">
        <v>16462.608</v>
      </c>
      <c r="X303" s="5">
        <v>21505.483</v>
      </c>
      <c r="Y303" s="5">
        <v>12053.043</v>
      </c>
      <c r="Z303" s="5">
        <v>14698.76</v>
      </c>
      <c r="AA303" s="5">
        <v>7088.39</v>
      </c>
      <c r="AB303" s="5">
        <v>79169.03</v>
      </c>
      <c r="AC303" s="5">
        <v>1253.1600000000001</v>
      </c>
      <c r="AD303" s="5">
        <v>179.9539</v>
      </c>
    </row>
    <row r="304" spans="5:30" ht="15">
      <c r="E304" s="9">
        <v>43312</v>
      </c>
      <c r="F304" s="5">
        <v>203.25</v>
      </c>
      <c r="G304" s="5">
        <v>490.2441</v>
      </c>
      <c r="H304" s="5">
        <v>807.43399999999997</v>
      </c>
      <c r="I304" s="5">
        <v>2013.76</v>
      </c>
      <c r="J304" s="5">
        <v>515.02440000000001</v>
      </c>
      <c r="K304" s="5">
        <v>2060.5500000000002</v>
      </c>
      <c r="L304" s="5">
        <v>2830.22</v>
      </c>
      <c r="M304" s="5">
        <v>2848.86</v>
      </c>
      <c r="N304" s="5">
        <v>2782.68</v>
      </c>
      <c r="O304" s="5">
        <v>2967.11</v>
      </c>
      <c r="P304" s="5">
        <v>1974.4</v>
      </c>
      <c r="Q304" s="5">
        <v>781.47</v>
      </c>
      <c r="R304" s="5">
        <v>2816.29</v>
      </c>
      <c r="S304" s="5">
        <v>2153.1</v>
      </c>
      <c r="T304" s="5">
        <v>519.82000000000005</v>
      </c>
      <c r="U304" s="5">
        <v>1087.46</v>
      </c>
      <c r="V304" s="5">
        <v>5598.3029999999999</v>
      </c>
      <c r="W304" s="5">
        <v>16529.934000000001</v>
      </c>
      <c r="X304" s="5">
        <v>21641.251</v>
      </c>
      <c r="Y304" s="5">
        <v>12170.16</v>
      </c>
      <c r="Z304" s="5">
        <v>14668.668</v>
      </c>
      <c r="AA304" s="5">
        <v>7144.5969999999998</v>
      </c>
      <c r="AB304" s="5">
        <v>79047.509999999995</v>
      </c>
      <c r="AC304" s="5">
        <v>1224.0899999999999</v>
      </c>
      <c r="AD304" s="5">
        <v>176.11320000000001</v>
      </c>
    </row>
    <row r="305" spans="5:30" ht="15">
      <c r="E305" s="9">
        <v>43343</v>
      </c>
      <c r="F305" s="5">
        <v>203.59</v>
      </c>
      <c r="G305" s="5">
        <v>491.81490000000002</v>
      </c>
      <c r="H305" s="5">
        <v>813.55679999999995</v>
      </c>
      <c r="I305" s="5">
        <v>2026.72</v>
      </c>
      <c r="J305" s="5">
        <v>516.60720000000003</v>
      </c>
      <c r="K305" s="5">
        <v>2073.0300000000002</v>
      </c>
      <c r="L305" s="5">
        <v>2844.2</v>
      </c>
      <c r="M305" s="5">
        <v>2859.71</v>
      </c>
      <c r="N305" s="5">
        <v>2800</v>
      </c>
      <c r="O305" s="5">
        <v>2992.92</v>
      </c>
      <c r="P305" s="5">
        <v>1988.96</v>
      </c>
      <c r="Q305" s="5">
        <v>766.45</v>
      </c>
      <c r="R305" s="5">
        <v>2901.52</v>
      </c>
      <c r="S305" s="5">
        <v>2175.5</v>
      </c>
      <c r="T305" s="5">
        <v>522.88</v>
      </c>
      <c r="U305" s="5">
        <v>1055.96</v>
      </c>
      <c r="V305" s="5">
        <v>5653.2839999999997</v>
      </c>
      <c r="W305" s="5">
        <v>16561.192999999999</v>
      </c>
      <c r="X305" s="5">
        <v>21824.577000000001</v>
      </c>
      <c r="Y305" s="5">
        <v>12174.865</v>
      </c>
      <c r="Z305" s="5">
        <v>14802.513999999999</v>
      </c>
      <c r="AA305" s="5">
        <v>7306.8339999999998</v>
      </c>
      <c r="AB305" s="5">
        <v>84158.81</v>
      </c>
      <c r="AC305" s="5">
        <v>1201.4000000000001</v>
      </c>
      <c r="AD305" s="5">
        <v>172.99510000000001</v>
      </c>
    </row>
    <row r="306" spans="5:30" ht="15">
      <c r="E306" s="9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</row>
    <row r="307" spans="5:30" ht="15">
      <c r="E307" s="9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</row>
    <row r="308" spans="5:30" ht="15">
      <c r="E308" s="9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</row>
    <row r="309" spans="5:30" ht="15">
      <c r="E309" s="9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</row>
    <row r="310" spans="5:30" ht="15">
      <c r="E310" s="9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</row>
    <row r="311" spans="5:30" ht="15">
      <c r="E311" s="9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</row>
    <row r="312" spans="5:30" ht="15">
      <c r="E312" s="9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</row>
    <row r="313" spans="5:30" ht="15">
      <c r="E313" s="9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</row>
    <row r="314" spans="5:30" ht="15">
      <c r="E314" s="9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</row>
    <row r="315" spans="5:30" ht="15">
      <c r="E315" s="9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</row>
    <row r="316" spans="5:30" ht="15">
      <c r="E316" s="9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</row>
    <row r="317" spans="5:30" ht="15">
      <c r="E317" s="9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</row>
    <row r="318" spans="5:30" ht="15">
      <c r="E318" s="9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</row>
    <row r="319" spans="5:30" ht="15">
      <c r="E319" s="9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</row>
    <row r="320" spans="5:30" ht="15">
      <c r="E320" s="9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</row>
    <row r="321" spans="5:30" ht="15">
      <c r="E321" s="9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</row>
    <row r="322" spans="5:30" ht="15">
      <c r="E322" s="9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</row>
    <row r="323" spans="5:30" ht="15">
      <c r="E323" s="9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</row>
    <row r="324" spans="5:30" ht="15">
      <c r="E324" s="9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</row>
    <row r="325" spans="5:30" ht="15">
      <c r="E325" s="9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</row>
    <row r="326" spans="5:30" ht="15">
      <c r="E326" s="9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</row>
    <row r="327" spans="5:30" ht="15">
      <c r="E327" s="9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</row>
    <row r="328" spans="5:30" ht="15">
      <c r="E328" s="9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</row>
    <row r="329" spans="5:30" ht="15">
      <c r="E329" s="9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</row>
    <row r="330" spans="5:30" ht="15">
      <c r="E330" s="9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</row>
    <row r="331" spans="5:30" ht="15">
      <c r="E331" s="9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</row>
    <row r="332" spans="5:30" ht="15">
      <c r="E332" s="9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</row>
    <row r="333" spans="5:30" ht="15">
      <c r="E333" s="9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</row>
    <row r="334" spans="5:30" ht="15">
      <c r="E334" s="9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</row>
    <row r="335" spans="5:30" ht="15">
      <c r="E335" s="9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</row>
    <row r="336" spans="5:30" ht="15">
      <c r="E336" s="9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</row>
    <row r="337" spans="5:30" ht="15">
      <c r="E337" s="9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</row>
    <row r="338" spans="5:30" ht="15">
      <c r="E338" s="9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</row>
    <row r="339" spans="5:30" ht="15">
      <c r="E339" s="9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</row>
    <row r="340" spans="5:30" ht="15">
      <c r="E340" s="9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</row>
    <row r="341" spans="5:30" ht="15">
      <c r="E341" s="9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</row>
    <row r="342" spans="5:30" ht="15">
      <c r="E342" s="9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</row>
    <row r="343" spans="5:30" ht="15">
      <c r="E343" s="9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</row>
    <row r="344" spans="5:30" ht="15">
      <c r="E344" s="9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</row>
    <row r="345" spans="5:30" ht="15">
      <c r="E345" s="9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</row>
    <row r="346" spans="5:30" ht="15">
      <c r="E346" s="9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</row>
    <row r="347" spans="5:30" ht="15">
      <c r="E347" s="9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</row>
    <row r="348" spans="5:30" ht="15">
      <c r="E348" s="9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</row>
    <row r="349" spans="5:30" ht="15">
      <c r="E349" s="9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</row>
    <row r="350" spans="5:30" ht="15">
      <c r="E350" s="9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</row>
    <row r="351" spans="5:30" ht="15">
      <c r="E351" s="9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</row>
    <row r="352" spans="5:30" ht="15">
      <c r="E352" s="9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</row>
    <row r="353" spans="5:30" ht="15">
      <c r="E353" s="9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</row>
    <row r="354" spans="5:30" ht="15">
      <c r="E354" s="9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</row>
    <row r="355" spans="5:30" ht="15">
      <c r="E355" s="9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</row>
    <row r="356" spans="5:30" ht="15">
      <c r="E356" s="9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</row>
    <row r="357" spans="5:30" ht="15">
      <c r="E357" s="9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</row>
    <row r="358" spans="5:30" ht="15">
      <c r="E358" s="9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</row>
    <row r="359" spans="5:30" ht="15">
      <c r="E359" s="9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</row>
    <row r="360" spans="5:30" ht="15">
      <c r="E360" s="9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</row>
    <row r="361" spans="5:30" ht="15">
      <c r="E361" s="9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</row>
    <row r="362" spans="5:30" ht="15">
      <c r="E362" s="9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</row>
    <row r="363" spans="5:30" ht="15">
      <c r="E363" s="9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</row>
    <row r="364" spans="5:30" ht="15">
      <c r="E364" s="9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</row>
    <row r="365" spans="5:30" ht="15">
      <c r="E365" s="9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</row>
    <row r="366" spans="5:30" ht="15">
      <c r="E366" s="9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</row>
    <row r="367" spans="5:30" ht="15">
      <c r="E367" s="9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</row>
    <row r="368" spans="5:30" ht="15">
      <c r="E368" s="9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</row>
    <row r="369" spans="5:30" ht="15">
      <c r="E369" s="9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</row>
    <row r="370" spans="5:30" ht="15">
      <c r="E370" s="9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</row>
    <row r="371" spans="5:30" ht="15">
      <c r="E371" s="9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</row>
    <row r="372" spans="5:30" ht="15">
      <c r="E372" s="9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</row>
    <row r="373" spans="5:30" ht="15">
      <c r="E373" s="9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</row>
    <row r="374" spans="5:30" ht="15">
      <c r="E374" s="9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</row>
    <row r="375" spans="5:30" ht="15">
      <c r="E375" s="9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</row>
    <row r="376" spans="5:30" ht="15">
      <c r="E376" s="9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</row>
    <row r="377" spans="5:30" ht="15">
      <c r="E377" s="9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</row>
    <row r="378" spans="5:30" ht="15">
      <c r="E378" s="9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</row>
    <row r="379" spans="5:30" ht="15">
      <c r="E379" s="9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</row>
    <row r="380" spans="5:30" ht="15">
      <c r="E380" s="9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</row>
    <row r="381" spans="5:30" ht="15">
      <c r="E381" s="9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</row>
    <row r="382" spans="5:30" ht="15">
      <c r="E382" s="9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</row>
    <row r="383" spans="5:30" ht="15">
      <c r="E383" s="9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</row>
    <row r="384" spans="5:30" ht="15">
      <c r="E384" s="9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</row>
    <row r="385" spans="5:30" ht="15">
      <c r="E385" s="9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</row>
    <row r="386" spans="5:30" ht="15">
      <c r="E386" s="9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</row>
    <row r="387" spans="5:30" ht="15">
      <c r="E387" s="9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</row>
    <row r="388" spans="5:30" ht="15">
      <c r="E388" s="9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</row>
    <row r="389" spans="5:30" ht="15">
      <c r="E389" s="9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</row>
    <row r="390" spans="5:30" ht="15">
      <c r="E390" s="9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</row>
    <row r="391" spans="5:30" ht="15">
      <c r="E391" s="9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</row>
    <row r="392" spans="5:30" ht="15">
      <c r="E392" s="9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</row>
    <row r="393" spans="5:30" ht="15">
      <c r="E393" s="9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</row>
    <row r="394" spans="5:30" ht="15">
      <c r="E394" s="9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</row>
    <row r="395" spans="5:30" ht="15">
      <c r="E395" s="9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</row>
    <row r="396" spans="5:30" ht="15">
      <c r="E396" s="9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</row>
    <row r="397" spans="5:30" ht="15">
      <c r="E397" s="9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</row>
    <row r="398" spans="5:30" ht="15">
      <c r="E398" s="9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</row>
    <row r="399" spans="5:30" ht="15">
      <c r="E399" s="9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</row>
    <row r="400" spans="5:30" ht="15">
      <c r="E400" s="9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</row>
    <row r="401" spans="5:30" ht="15">
      <c r="E401" s="9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</row>
    <row r="402" spans="5:30" ht="15">
      <c r="E402" s="9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</row>
    <row r="403" spans="5:30" ht="15">
      <c r="E403" s="9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</row>
    <row r="404" spans="5:30" ht="15">
      <c r="E404" s="9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</row>
    <row r="405" spans="5:30" ht="15">
      <c r="E405" s="9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</row>
    <row r="406" spans="5:30" ht="15">
      <c r="E406" s="9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</row>
    <row r="407" spans="5:30" ht="15">
      <c r="E407" s="9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</row>
    <row r="408" spans="5:30" ht="15">
      <c r="E408" s="9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</row>
    <row r="409" spans="5:30" ht="15">
      <c r="E409" s="9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</row>
    <row r="410" spans="5:30" ht="15">
      <c r="E410" s="9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</row>
    <row r="411" spans="5:30" ht="15">
      <c r="E411" s="9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</row>
    <row r="412" spans="5:30" ht="15">
      <c r="E412" s="9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</row>
    <row r="413" spans="5:30" ht="15">
      <c r="E413" s="9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</row>
    <row r="414" spans="5:30" ht="15">
      <c r="E414" s="9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</row>
    <row r="415" spans="5:30" ht="15">
      <c r="E415" s="9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</row>
    <row r="416" spans="5:30" ht="15">
      <c r="E416" s="9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</row>
    <row r="417" spans="5:30" ht="15">
      <c r="E417" s="9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</row>
    <row r="418" spans="5:30" ht="15">
      <c r="E418" s="9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</row>
    <row r="419" spans="5:30" ht="15">
      <c r="E419" s="9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</row>
    <row r="420" spans="5:30" ht="15">
      <c r="E420" s="9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</row>
    <row r="421" spans="5:30" ht="15">
      <c r="E421" s="9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</row>
    <row r="422" spans="5:30" ht="15">
      <c r="E422" s="9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</row>
    <row r="423" spans="5:30" ht="15">
      <c r="E423" s="9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</row>
    <row r="424" spans="5:30" ht="15">
      <c r="E424" s="9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</row>
    <row r="425" spans="5:30" ht="15">
      <c r="E425" s="9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</row>
    <row r="426" spans="5:30" ht="15">
      <c r="E426" s="9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</row>
    <row r="427" spans="5:30" ht="15">
      <c r="E427" s="9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</row>
    <row r="428" spans="5:30" ht="15">
      <c r="E428" s="9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</row>
    <row r="429" spans="5:30" ht="15">
      <c r="E429" s="9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</row>
    <row r="430" spans="5:30" ht="15">
      <c r="E430" s="9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</row>
    <row r="431" spans="5:30" ht="15">
      <c r="E431" s="9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</row>
    <row r="432" spans="5:30" ht="15">
      <c r="E432" s="9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</row>
    <row r="433" spans="5:30" ht="15">
      <c r="E433" s="9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</row>
    <row r="434" spans="5:30" ht="15">
      <c r="E434" s="9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</row>
    <row r="435" spans="5:30" ht="15">
      <c r="E435" s="9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</row>
    <row r="436" spans="5:30" ht="15">
      <c r="E436" s="9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</row>
    <row r="437" spans="5:30" ht="15">
      <c r="E437" s="9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</row>
    <row r="438" spans="5:30" ht="15">
      <c r="E438" s="9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</row>
    <row r="439" spans="5:30" ht="15">
      <c r="E439" s="9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</row>
    <row r="440" spans="5:30" ht="15">
      <c r="E440" s="9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</row>
    <row r="441" spans="5:30" ht="15">
      <c r="E441" s="9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</row>
    <row r="442" spans="5:30" ht="15">
      <c r="E442" s="9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</row>
    <row r="443" spans="5:30" ht="15">
      <c r="E443" s="9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</row>
    <row r="444" spans="5:30" ht="15">
      <c r="E444" s="9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</row>
    <row r="445" spans="5:30" ht="15">
      <c r="E445" s="9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</row>
    <row r="446" spans="5:30" ht="15">
      <c r="E446" s="9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</row>
    <row r="447" spans="5:30" ht="15">
      <c r="E447" s="9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</row>
    <row r="448" spans="5:30" ht="15">
      <c r="E448" s="9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</row>
    <row r="449" spans="5:30" ht="15">
      <c r="E449" s="9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</row>
    <row r="450" spans="5:30" ht="15">
      <c r="E450" s="9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</row>
    <row r="451" spans="5:30" ht="15">
      <c r="E451" s="9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</row>
    <row r="452" spans="5:30" ht="15">
      <c r="E452" s="9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</row>
    <row r="453" spans="5:30" ht="15">
      <c r="E453" s="9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</row>
    <row r="454" spans="5:30" ht="15">
      <c r="E454" s="9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</row>
    <row r="455" spans="5:30" ht="15">
      <c r="E455" s="9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</row>
    <row r="456" spans="5:30" ht="15">
      <c r="E456" s="9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</row>
    <row r="457" spans="5:30" ht="15">
      <c r="E457" s="9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</row>
    <row r="458" spans="5:30" ht="15">
      <c r="E458" s="9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</row>
    <row r="459" spans="5:30" ht="15">
      <c r="E459" s="9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</row>
    <row r="460" spans="5:30" ht="15">
      <c r="E460" s="9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</row>
    <row r="461" spans="5:30" ht="15">
      <c r="E461" s="9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</row>
    <row r="462" spans="5:30" ht="15">
      <c r="E462" s="9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</row>
    <row r="463" spans="5:30" ht="15">
      <c r="E463" s="9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</row>
    <row r="464" spans="5:30" ht="15">
      <c r="E464" s="9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</row>
    <row r="465" spans="5:30" ht="15">
      <c r="E465" s="9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</row>
    <row r="466" spans="5:30" ht="15">
      <c r="E466" s="9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</row>
    <row r="467" spans="5:30" ht="15">
      <c r="E467" s="9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</row>
    <row r="468" spans="5:30" ht="15">
      <c r="E468" s="9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</row>
    <row r="469" spans="5:30" ht="15">
      <c r="E469" s="9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</row>
    <row r="470" spans="5:30" ht="15">
      <c r="E470" s="9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</row>
    <row r="471" spans="5:30" ht="15">
      <c r="E471" s="9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</row>
    <row r="472" spans="5:30" ht="15">
      <c r="E472" s="9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</row>
    <row r="473" spans="5:30" ht="15">
      <c r="E473" s="9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</row>
    <row r="474" spans="5:30" ht="15">
      <c r="E474" s="9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</row>
    <row r="475" spans="5:30" ht="15">
      <c r="E475" s="9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</row>
    <row r="476" spans="5:30" ht="15">
      <c r="E476" s="9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</row>
    <row r="477" spans="5:30" ht="15">
      <c r="E477" s="9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</row>
    <row r="478" spans="5:30" ht="15">
      <c r="E478" s="9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</row>
    <row r="479" spans="5:30" ht="15">
      <c r="E479" s="9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</row>
    <row r="480" spans="5:30" ht="15">
      <c r="E480" s="9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</row>
    <row r="481" spans="5:30" ht="15">
      <c r="E481" s="9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</row>
    <row r="482" spans="5:30" ht="15">
      <c r="E482" s="9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</row>
    <row r="483" spans="5:30" ht="15">
      <c r="E483" s="9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</row>
    <row r="484" spans="5:30" ht="15">
      <c r="E484" s="9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</row>
    <row r="485" spans="5:30" ht="15">
      <c r="E485" s="9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</row>
    <row r="486" spans="5:30" ht="15">
      <c r="E486" s="9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</row>
    <row r="487" spans="5:30" ht="15">
      <c r="E487" s="9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</row>
    <row r="488" spans="5:30" ht="15">
      <c r="E488" s="9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</row>
    <row r="489" spans="5:30" ht="15">
      <c r="E489" s="9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</row>
    <row r="490" spans="5:30" ht="15">
      <c r="E490" s="9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</row>
    <row r="491" spans="5:30" ht="15">
      <c r="E491" s="9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</row>
    <row r="492" spans="5:30" ht="15">
      <c r="E492" s="9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</row>
    <row r="493" spans="5:30" ht="15">
      <c r="E493" s="9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</row>
    <row r="494" spans="5:30" ht="15">
      <c r="E494" s="9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</row>
    <row r="495" spans="5:30" ht="15">
      <c r="E495" s="9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</row>
    <row r="496" spans="5:30" ht="15">
      <c r="E496" s="9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</row>
    <row r="497" spans="5:30" ht="15">
      <c r="E497" s="9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</row>
    <row r="498" spans="5:30" ht="15">
      <c r="E498" s="9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</row>
    <row r="499" spans="5:30" ht="15">
      <c r="E499" s="9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</row>
    <row r="500" spans="5:30" ht="15">
      <c r="E500" s="9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</row>
    <row r="501" spans="5:30" ht="15">
      <c r="E501" s="9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</row>
    <row r="502" spans="5:30" ht="15">
      <c r="E502" s="9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</row>
    <row r="503" spans="5:30" ht="15">
      <c r="E503" s="9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</row>
    <row r="504" spans="5:30" ht="15">
      <c r="E504" s="9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</row>
    <row r="505" spans="5:30" ht="15">
      <c r="E505" s="9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</row>
    <row r="506" spans="5:30" ht="15">
      <c r="E506" s="9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</row>
    <row r="507" spans="5:30" ht="15">
      <c r="E507" s="9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</row>
    <row r="508" spans="5:30" ht="15">
      <c r="E508" s="9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</row>
    <row r="509" spans="5:30" ht="15">
      <c r="E509" s="9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</row>
    <row r="510" spans="5:30" ht="15">
      <c r="E510" s="9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</row>
    <row r="511" spans="5:30" ht="15">
      <c r="E511" s="9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</row>
    <row r="512" spans="5:30" ht="15">
      <c r="E512" s="9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</row>
    <row r="513" spans="5:30" ht="15">
      <c r="E513" s="9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</row>
    <row r="514" spans="5:30" ht="15">
      <c r="E514" s="9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</row>
    <row r="515" spans="5:30" ht="15">
      <c r="E515" s="9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</row>
    <row r="516" spans="5:30" ht="15">
      <c r="E516" s="9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</row>
    <row r="517" spans="5:30" ht="15">
      <c r="E517" s="9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</row>
    <row r="518" spans="5:30" ht="15">
      <c r="E518" s="9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</row>
    <row r="519" spans="5:30" ht="15">
      <c r="E519" s="9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</row>
    <row r="520" spans="5:30" ht="15">
      <c r="E520" s="9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</row>
    <row r="521" spans="5:30" ht="15">
      <c r="E521" s="9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</row>
    <row r="522" spans="5:30" ht="15">
      <c r="E522" s="9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</row>
    <row r="523" spans="5:30" ht="15">
      <c r="E523" s="9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</row>
    <row r="524" spans="5:30" ht="15">
      <c r="E524" s="9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</row>
    <row r="525" spans="5:30" ht="15">
      <c r="E525" s="9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</row>
    <row r="526" spans="5:30" ht="15">
      <c r="E526" s="9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</row>
    <row r="527" spans="5:30" ht="15">
      <c r="E527" s="9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</row>
    <row r="528" spans="5:30" ht="15">
      <c r="E528" s="9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</row>
    <row r="529" spans="5:30" ht="15">
      <c r="E529" s="9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</row>
    <row r="530" spans="5:30" ht="15">
      <c r="E530" s="9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</row>
    <row r="531" spans="5:30" ht="15">
      <c r="E531" s="9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</row>
    <row r="532" spans="5:30" ht="15">
      <c r="E532" s="9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</row>
    <row r="533" spans="5:30" ht="15">
      <c r="E533" s="9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</row>
    <row r="534" spans="5:30" ht="15">
      <c r="E534" s="9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</row>
    <row r="535" spans="5:30" ht="15">
      <c r="E535" s="9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</row>
    <row r="536" spans="5:30" ht="15">
      <c r="E536" s="9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</row>
    <row r="537" spans="5:30" ht="15">
      <c r="E537" s="9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</row>
    <row r="538" spans="5:30" ht="15">
      <c r="E538" s="9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</row>
    <row r="539" spans="5:30" ht="15">
      <c r="E539" s="9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</row>
    <row r="540" spans="5:30" ht="15">
      <c r="E540" s="9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</row>
    <row r="541" spans="5:30" ht="15">
      <c r="E541" s="9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</row>
    <row r="542" spans="5:30" ht="15">
      <c r="E542" s="9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</row>
    <row r="543" spans="5:30" ht="15">
      <c r="E543" s="9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</row>
    <row r="544" spans="5:30" ht="15">
      <c r="E544" s="9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</row>
    <row r="545" spans="5:30" ht="15">
      <c r="E545" s="9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</row>
    <row r="546" spans="5:30" ht="15">
      <c r="E546" s="9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</row>
    <row r="547" spans="5:30" ht="15">
      <c r="E547" s="9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</row>
    <row r="548" spans="5:30" ht="15">
      <c r="E548" s="9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</row>
    <row r="549" spans="5:30" ht="15">
      <c r="E549" s="9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</row>
    <row r="550" spans="5:30" ht="15">
      <c r="E550" s="9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</row>
    <row r="551" spans="5:30" ht="15">
      <c r="E551" s="9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</row>
    <row r="552" spans="5:30" ht="15">
      <c r="E552" s="9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</row>
    <row r="553" spans="5:30" ht="15">
      <c r="E553" s="9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</row>
    <row r="554" spans="5:30" ht="15">
      <c r="E554" s="9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</row>
    <row r="555" spans="5:30" ht="15">
      <c r="E555" s="9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</row>
    <row r="556" spans="5:30" ht="15">
      <c r="E556" s="9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</row>
    <row r="557" spans="5:30" ht="15">
      <c r="E557" s="9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</row>
    <row r="558" spans="5:30" ht="15">
      <c r="E558" s="9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</row>
    <row r="559" spans="5:30" ht="15">
      <c r="E559" s="9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</row>
    <row r="560" spans="5:30" ht="15">
      <c r="E560" s="9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</row>
    <row r="561" spans="5:30" ht="15">
      <c r="E561" s="9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</row>
    <row r="562" spans="5:30" ht="15">
      <c r="E562" s="9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</row>
    <row r="563" spans="5:30" ht="15">
      <c r="E563" s="9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</row>
    <row r="564" spans="5:30" ht="15">
      <c r="E564" s="9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</row>
    <row r="565" spans="5:30" ht="15">
      <c r="E565" s="9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</row>
    <row r="566" spans="5:30" ht="15">
      <c r="E566" s="9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</row>
    <row r="567" spans="5:30" ht="15">
      <c r="E567" s="9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</row>
    <row r="568" spans="5:30" ht="15">
      <c r="E568" s="9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</row>
    <row r="569" spans="5:30" ht="15">
      <c r="E569" s="9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</row>
    <row r="570" spans="5:30" ht="15">
      <c r="E570" s="9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</row>
    <row r="571" spans="5:30" ht="15">
      <c r="E571" s="9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</row>
    <row r="572" spans="5:30" ht="15">
      <c r="E572" s="9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</row>
    <row r="573" spans="5:30" ht="15">
      <c r="E573" s="9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</row>
    <row r="574" spans="5:30" ht="15">
      <c r="E574" s="9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</row>
    <row r="575" spans="5:30" ht="15">
      <c r="E575" s="9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</row>
    <row r="576" spans="5:30" ht="15">
      <c r="E576" s="9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</row>
    <row r="577" spans="5:30" ht="15">
      <c r="E577" s="9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</row>
    <row r="578" spans="5:30" ht="15">
      <c r="E578" s="9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</row>
    <row r="579" spans="5:30" ht="15">
      <c r="E579" s="9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</row>
    <row r="580" spans="5:30" ht="15">
      <c r="E580" s="9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</row>
    <row r="581" spans="5:30" ht="15">
      <c r="E581" s="9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</row>
    <row r="582" spans="5:30" ht="15">
      <c r="E582" s="9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</row>
    <row r="583" spans="5:30" ht="15">
      <c r="E583" s="9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</row>
    <row r="584" spans="5:30" ht="15">
      <c r="E584" s="9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</row>
    <row r="585" spans="5:30" ht="15">
      <c r="E585" s="9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</row>
    <row r="586" spans="5:30" ht="15">
      <c r="E586" s="9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</row>
    <row r="587" spans="5:30" ht="15">
      <c r="E587" s="9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</row>
    <row r="588" spans="5:30" ht="15">
      <c r="E588" s="9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</row>
    <row r="589" spans="5:30" ht="15">
      <c r="E589" s="9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</row>
    <row r="590" spans="5:30" ht="15">
      <c r="E590" s="9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</row>
    <row r="591" spans="5:30" ht="15">
      <c r="E591" s="9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</row>
    <row r="592" spans="5:30" ht="15">
      <c r="E592" s="9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</row>
    <row r="593" spans="5:30" ht="15">
      <c r="E593" s="9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</row>
    <row r="594" spans="5:30" ht="15">
      <c r="E594" s="9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</row>
    <row r="595" spans="5:30" ht="15">
      <c r="E595" s="9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</row>
    <row r="596" spans="5:30" ht="15">
      <c r="E596" s="9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</row>
    <row r="597" spans="5:30" ht="15">
      <c r="E597" s="9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</row>
    <row r="598" spans="5:30" ht="15">
      <c r="E598" s="9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</row>
    <row r="599" spans="5:30" ht="15">
      <c r="E599" s="9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</row>
    <row r="600" spans="5:30" ht="15">
      <c r="E600" s="9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</row>
    <row r="601" spans="5:30" ht="15">
      <c r="E601" s="9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</row>
    <row r="602" spans="5:30" ht="15">
      <c r="E602" s="9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</row>
    <row r="603" spans="5:30" ht="15">
      <c r="E603" s="9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</row>
    <row r="604" spans="5:30" ht="15">
      <c r="E604" s="9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</row>
    <row r="605" spans="5:30" ht="15">
      <c r="E605" s="9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</row>
    <row r="606" spans="5:30" ht="15">
      <c r="E606" s="9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</row>
    <row r="607" spans="5:30" ht="15">
      <c r="E607" s="9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</row>
    <row r="608" spans="5:30" ht="15">
      <c r="E608" s="9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</row>
    <row r="609" spans="5:30" ht="15">
      <c r="E609" s="9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</row>
    <row r="610" spans="5:30" ht="15">
      <c r="E610" s="9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</row>
    <row r="611" spans="5:30" ht="15">
      <c r="E611" s="9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</row>
    <row r="612" spans="5:30" ht="15">
      <c r="E612" s="9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</row>
    <row r="613" spans="5:30" ht="15">
      <c r="E613" s="9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</row>
    <row r="614" spans="5:30" ht="15">
      <c r="E614" s="9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</row>
    <row r="615" spans="5:30" ht="15">
      <c r="E615" s="9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</row>
    <row r="616" spans="5:30" ht="15">
      <c r="E616" s="9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</row>
    <row r="617" spans="5:30" ht="15">
      <c r="E617" s="9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</row>
    <row r="618" spans="5:30" ht="15">
      <c r="E618" s="9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</row>
    <row r="619" spans="5:30" ht="15">
      <c r="E619" s="9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</row>
    <row r="620" spans="5:30" ht="15">
      <c r="E620" s="9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</row>
    <row r="621" spans="5:30" ht="15">
      <c r="E621" s="9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</row>
    <row r="622" spans="5:30" ht="15">
      <c r="E622" s="9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</row>
    <row r="623" spans="5:30" ht="15">
      <c r="E623" s="9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</row>
    <row r="624" spans="5:30" ht="15">
      <c r="E624" s="9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</row>
    <row r="625" spans="5:30" ht="15">
      <c r="E625" s="9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</row>
    <row r="626" spans="5:30" ht="15">
      <c r="E626" s="9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</row>
    <row r="627" spans="5:30" ht="15">
      <c r="E627" s="9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</row>
    <row r="628" spans="5:30" ht="15">
      <c r="E628" s="9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</row>
    <row r="629" spans="5:30" ht="15">
      <c r="E629" s="9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</row>
    <row r="630" spans="5:30" ht="15">
      <c r="E630" s="9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</row>
    <row r="631" spans="5:30" ht="15">
      <c r="E631" s="9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</row>
    <row r="632" spans="5:30" ht="15">
      <c r="E632" s="9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</row>
    <row r="633" spans="5:30" ht="15">
      <c r="E633" s="9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</row>
    <row r="634" spans="5:30" ht="15">
      <c r="E634" s="9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</row>
    <row r="635" spans="5:30" ht="15">
      <c r="E635" s="9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</row>
    <row r="636" spans="5:30" ht="15">
      <c r="E636" s="9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</row>
    <row r="637" spans="5:30" ht="15">
      <c r="E637" s="9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</row>
    <row r="638" spans="5:30" ht="15">
      <c r="E638" s="9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</row>
    <row r="639" spans="5:30" ht="15">
      <c r="E639" s="9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</row>
    <row r="640" spans="5:30" ht="15">
      <c r="E640" s="9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</row>
    <row r="641" spans="5:30" ht="15">
      <c r="E641" s="9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</row>
    <row r="642" spans="5:30" ht="15">
      <c r="E642" s="9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</row>
    <row r="643" spans="5:30" ht="15">
      <c r="E643" s="9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</row>
    <row r="644" spans="5:30" ht="15">
      <c r="E644" s="9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</row>
    <row r="645" spans="5:30" ht="15">
      <c r="E645" s="9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</row>
    <row r="646" spans="5:30" ht="15">
      <c r="E646" s="9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</row>
    <row r="647" spans="5:30" ht="15">
      <c r="E647" s="9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</row>
    <row r="648" spans="5:30" ht="15">
      <c r="E648" s="9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</row>
    <row r="649" spans="5:30" ht="15">
      <c r="E649" s="9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</row>
    <row r="650" spans="5:30" ht="15">
      <c r="E650" s="9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</row>
    <row r="651" spans="5:30" ht="15">
      <c r="E651" s="9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</row>
    <row r="652" spans="5:30" ht="15">
      <c r="E652" s="9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</row>
    <row r="653" spans="5:30" ht="15">
      <c r="E653" s="9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</row>
    <row r="654" spans="5:30" ht="15">
      <c r="E654" s="9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</row>
    <row r="655" spans="5:30" ht="15">
      <c r="E655" s="9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</row>
    <row r="656" spans="5:30" ht="15">
      <c r="E656" s="9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</row>
    <row r="657" spans="5:30" ht="15">
      <c r="E657" s="9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</row>
    <row r="658" spans="5:30" ht="15">
      <c r="E658" s="9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</row>
    <row r="659" spans="5:30" ht="15">
      <c r="E659" s="9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</row>
    <row r="660" spans="5:30" ht="15">
      <c r="E660" s="9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</row>
    <row r="661" spans="5:30" ht="15">
      <c r="E661" s="9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</row>
    <row r="662" spans="5:30" ht="15">
      <c r="E662" s="9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</row>
    <row r="663" spans="5:30" ht="15">
      <c r="E663" s="9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</row>
    <row r="664" spans="5:30" ht="15">
      <c r="E664" s="9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</row>
    <row r="665" spans="5:30" ht="15">
      <c r="E665" s="9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</row>
    <row r="666" spans="5:30" ht="15">
      <c r="E666" s="9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</row>
    <row r="667" spans="5:30" ht="15">
      <c r="E667" s="9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</row>
    <row r="668" spans="5:30" ht="15">
      <c r="E668" s="9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</row>
    <row r="669" spans="5:30" ht="15">
      <c r="E669" s="9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</row>
    <row r="670" spans="5:30" ht="15">
      <c r="E670" s="9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</row>
    <row r="671" spans="5:30" ht="15">
      <c r="E671" s="9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</row>
    <row r="672" spans="5:30" ht="15">
      <c r="E672" s="9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</row>
    <row r="673" spans="5:30" ht="15">
      <c r="E673" s="9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</row>
    <row r="674" spans="5:30" ht="15">
      <c r="E674" s="9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</row>
    <row r="675" spans="5:30" ht="15">
      <c r="E675" s="9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</row>
    <row r="676" spans="5:30" ht="15">
      <c r="E676" s="9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</row>
    <row r="677" spans="5:30" ht="15">
      <c r="E677" s="9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</row>
    <row r="678" spans="5:30" ht="15">
      <c r="E678" s="9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</row>
    <row r="679" spans="5:30" ht="15">
      <c r="E679" s="9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</row>
    <row r="680" spans="5:30" ht="15">
      <c r="E680" s="9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</row>
    <row r="681" spans="5:30" ht="15">
      <c r="E681" s="9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</row>
    <row r="682" spans="5:30" ht="15">
      <c r="E682" s="9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</row>
    <row r="683" spans="5:30" ht="15">
      <c r="E683" s="9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</row>
    <row r="684" spans="5:30" ht="15">
      <c r="E684" s="9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</row>
    <row r="685" spans="5:30" ht="15">
      <c r="E685" s="9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</row>
    <row r="686" spans="5:30" ht="15">
      <c r="E686" s="9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</row>
    <row r="687" spans="5:30" ht="15">
      <c r="E687" s="9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</row>
    <row r="688" spans="5:30" ht="15">
      <c r="E688" s="9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</row>
    <row r="689" spans="5:30" ht="15">
      <c r="E689" s="9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</row>
    <row r="690" spans="5:30" ht="15">
      <c r="E690" s="9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</row>
    <row r="691" spans="5:30" ht="15">
      <c r="E691" s="9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</row>
    <row r="692" spans="5:30" ht="15">
      <c r="E692" s="9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</row>
    <row r="693" spans="5:30" ht="15">
      <c r="E693" s="9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</row>
    <row r="694" spans="5:30" ht="15">
      <c r="E694" s="9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</row>
    <row r="695" spans="5:30" ht="15">
      <c r="E695" s="9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</row>
    <row r="696" spans="5:30" ht="15">
      <c r="E696" s="9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</row>
    <row r="697" spans="5:30" ht="15">
      <c r="E697" s="9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</row>
    <row r="698" spans="5:30" ht="15">
      <c r="E698" s="9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</row>
    <row r="699" spans="5:30" ht="15">
      <c r="E699" s="9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</row>
    <row r="700" spans="5:30" ht="15">
      <c r="E700" s="9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</row>
    <row r="701" spans="5:30" ht="15">
      <c r="E701" s="9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5:30" ht="15">
      <c r="E702" s="9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5:30" ht="15">
      <c r="E703" s="9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5:30" ht="15">
      <c r="E704" s="9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5:30" ht="15">
      <c r="E705" s="9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5:30" ht="15">
      <c r="E706" s="9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5:30" ht="15">
      <c r="E707" s="9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5:30" ht="15">
      <c r="E708" s="9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5:30" ht="15">
      <c r="E709" s="9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5:30" ht="15">
      <c r="E710" s="9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5:30" ht="15">
      <c r="E711" s="9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5:30" ht="15">
      <c r="E712" s="9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5:30" ht="15">
      <c r="E713" s="9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5:30" ht="15">
      <c r="E714" s="9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5:30" ht="15">
      <c r="E715" s="9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5:30" ht="15">
      <c r="E716" s="9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5:30" ht="15">
      <c r="E717" s="9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5:30" ht="15">
      <c r="E718" s="9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5:30" ht="15">
      <c r="E719" s="9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5:30" ht="15">
      <c r="E720" s="9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5:30" ht="15">
      <c r="E721" s="9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5:30" ht="15">
      <c r="E722" s="9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5:30" ht="15">
      <c r="E723" s="9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5:30" ht="15">
      <c r="E724" s="9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5:30" ht="15">
      <c r="E725" s="9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5:30" ht="15">
      <c r="E726" s="9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5:30" ht="15">
      <c r="E727" s="9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5:30" ht="15">
      <c r="E728" s="9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5:30" ht="15">
      <c r="E729" s="9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5:30" ht="15">
      <c r="E730" s="9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5:30" ht="15">
      <c r="E731" s="9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5:30" ht="15">
      <c r="E732" s="9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5:30" ht="15">
      <c r="E733" s="9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5:30" ht="15">
      <c r="E734" s="9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5:30" ht="15">
      <c r="E735" s="9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5:30" ht="15">
      <c r="E736" s="9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5:30" ht="15">
      <c r="E737" s="9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5:30" ht="15">
      <c r="E738" s="9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5:30" ht="15">
      <c r="E739" s="9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5:30" ht="15">
      <c r="E740" s="9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5:30" ht="15">
      <c r="E741" s="9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5:30" ht="15">
      <c r="E742" s="9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5:30" ht="15">
      <c r="E743" s="9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5:30" ht="15">
      <c r="E744" s="9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5:30" ht="15">
      <c r="E745" s="9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5:30" ht="15">
      <c r="E746" s="9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5:30" ht="15">
      <c r="E747" s="9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5:30" ht="15">
      <c r="E748" s="9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5:30" ht="15">
      <c r="E749" s="9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5:30" ht="15">
      <c r="E750" s="9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5:30" ht="15">
      <c r="E751" s="9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5:30" ht="15">
      <c r="E752" s="9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5:30" ht="15">
      <c r="E753" s="9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5:30" ht="15">
      <c r="E754" s="9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5:30" ht="15">
      <c r="E755" s="9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5:30" ht="15">
      <c r="E756" s="9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5:30" ht="15">
      <c r="E757" s="9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5:30" ht="15">
      <c r="E758" s="9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5:30" ht="15">
      <c r="E759" s="9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5:30" ht="15">
      <c r="E760" s="9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5:30" ht="15">
      <c r="E761" s="9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5:30" ht="15">
      <c r="E762" s="9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5:30" ht="15">
      <c r="E763" s="9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5:30" ht="15">
      <c r="E764" s="9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5:30" ht="15">
      <c r="E765" s="9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5:30" ht="15">
      <c r="E766" s="9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5:30" ht="15">
      <c r="E767" s="9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5:30" ht="15">
      <c r="E768" s="9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5:30" ht="15">
      <c r="E769" s="9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5:30" ht="15">
      <c r="E770" s="9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5:30" ht="15">
      <c r="E771" s="9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5:30" ht="15">
      <c r="E772" s="9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5:30" ht="15">
      <c r="E773" s="9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5:30" ht="15">
      <c r="E774" s="9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5:30" ht="15">
      <c r="E775" s="9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5:30" ht="15">
      <c r="E776" s="9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5:30" ht="15">
      <c r="E777" s="9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5:30" ht="15">
      <c r="E778" s="9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5:30" ht="15">
      <c r="E779" s="9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5:30" ht="15">
      <c r="E780" s="9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5:30" ht="15">
      <c r="E781" s="9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5:30" ht="15">
      <c r="E782" s="9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5:30" ht="15">
      <c r="E783" s="9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5:30" ht="15">
      <c r="E784" s="9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5:30" ht="15">
      <c r="E785" s="9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5:30" ht="15">
      <c r="E786" s="9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5:30" ht="15">
      <c r="E787" s="9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5:30" ht="15">
      <c r="E788" s="9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5:30" ht="15">
      <c r="E789" s="9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5:30" ht="15">
      <c r="E790" s="9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5:30" ht="15">
      <c r="E791" s="9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5:30" ht="15">
      <c r="E792" s="9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5:30" ht="15">
      <c r="E793" s="9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5:30" ht="15">
      <c r="E794" s="9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5:30" ht="15">
      <c r="E795" s="9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5:30" ht="15">
      <c r="E796" s="9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5:30" ht="15">
      <c r="E797" s="9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5:30" ht="15">
      <c r="E798" s="9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5:30" ht="15">
      <c r="E799" s="9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5:30" ht="15">
      <c r="E800" s="9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5:30" ht="15">
      <c r="E801" s="9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5:30" ht="15">
      <c r="E802" s="9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5:30" ht="15">
      <c r="E803" s="9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5:30" ht="15">
      <c r="E804" s="9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5:30" ht="15">
      <c r="E805" s="9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5:30" ht="15">
      <c r="E806" s="9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5:30" ht="15">
      <c r="E807" s="9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5:30" ht="15">
      <c r="E808" s="9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5:30" ht="15">
      <c r="E809" s="9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5:30" ht="15">
      <c r="E810" s="9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5:30" ht="15">
      <c r="E811" s="9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5:30" ht="15">
      <c r="E812" s="9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5:30" ht="15">
      <c r="E813" s="9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5:30" ht="15">
      <c r="E814" s="9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5:30" ht="15">
      <c r="E815" s="9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5:30" ht="15">
      <c r="E816" s="9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5:30" ht="15">
      <c r="E817" s="9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5:30" ht="15">
      <c r="E818" s="9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5:30" ht="15">
      <c r="E819" s="9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5:30" ht="15">
      <c r="E820" s="9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5:30" ht="15">
      <c r="E821" s="9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5:30" ht="15">
      <c r="E822" s="9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5:30" ht="15">
      <c r="E823" s="9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5:30" ht="15">
      <c r="E824" s="9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5:30" ht="15">
      <c r="E825" s="9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5:30" ht="15">
      <c r="E826" s="9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5:30" ht="15">
      <c r="E827" s="9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5:30" ht="15">
      <c r="E828" s="9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5:30" ht="15">
      <c r="E829" s="9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5:30" ht="15">
      <c r="E830" s="9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5:30" ht="15">
      <c r="E831" s="9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5:30" ht="15">
      <c r="E832" s="9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5:30" ht="15">
      <c r="E833" s="9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5:30" ht="15">
      <c r="E834" s="9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5:30" ht="15">
      <c r="E835" s="9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5:30" ht="15">
      <c r="E836" s="9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5:30" ht="15">
      <c r="E837" s="9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5:30" ht="15">
      <c r="E838" s="9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5:30" ht="15">
      <c r="E839" s="9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5:30" ht="15">
      <c r="E840" s="9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5:30" ht="15">
      <c r="E841" s="9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5:30" ht="15">
      <c r="E842" s="9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5:30" ht="15">
      <c r="E843" s="9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5:30" ht="15">
      <c r="E844" s="9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5:30" ht="15">
      <c r="E845" s="9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5:30" ht="15">
      <c r="E846" s="9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5:30" ht="15">
      <c r="E847" s="9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5:30" ht="15">
      <c r="E848" s="9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5:30" ht="15">
      <c r="E849" s="9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5:30" ht="15">
      <c r="E850" s="9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5:30" ht="15">
      <c r="E851" s="9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5:30" ht="15">
      <c r="E852" s="9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5:30" ht="15">
      <c r="E853" s="9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5:30" ht="15">
      <c r="E854" s="9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5:30" ht="15">
      <c r="E855" s="9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5:30" ht="15">
      <c r="E856" s="9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5:30" ht="15">
      <c r="E857" s="9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5:30" ht="15">
      <c r="E858" s="9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5:30" ht="15">
      <c r="E859" s="9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5:30" ht="15">
      <c r="E860" s="9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5:30" ht="15">
      <c r="E861" s="9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5:30" ht="15">
      <c r="E862" s="9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5:30" ht="15">
      <c r="E863" s="9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5:30" ht="15">
      <c r="E864" s="9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5:30" ht="15">
      <c r="E865" s="9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5:30" ht="15">
      <c r="E866" s="9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5:30" ht="15">
      <c r="E867" s="9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5:30" ht="15">
      <c r="E868" s="9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5:30" ht="15">
      <c r="E869" s="9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5:30" ht="15">
      <c r="E870" s="9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5:30" ht="15">
      <c r="E871" s="9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5:30" ht="15">
      <c r="E872" s="9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5:30" ht="15">
      <c r="E873" s="9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5:30" ht="15">
      <c r="E874" s="9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5:30" ht="15">
      <c r="E875" s="9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5:30" ht="15">
      <c r="E876" s="9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5:30" ht="15">
      <c r="E877" s="9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5:30" ht="15">
      <c r="E878" s="9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5:30" ht="15">
      <c r="E879" s="9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5:30" ht="15">
      <c r="E880" s="9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5:30" ht="15">
      <c r="E881" s="9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5:30" ht="15">
      <c r="E882" s="9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5:30" ht="15">
      <c r="E883" s="9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5:30" ht="15">
      <c r="E884" s="9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5:30" ht="15">
      <c r="E885" s="9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5:30" ht="15">
      <c r="E886" s="9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5:30" ht="15">
      <c r="E887" s="9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5:30" ht="15">
      <c r="E888" s="9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5:30" ht="15">
      <c r="E889" s="9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5:30" ht="15">
      <c r="E890" s="9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5:30" ht="15">
      <c r="E891" s="9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5:30" ht="15">
      <c r="E892" s="9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5:30" ht="15">
      <c r="E893" s="9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5:30" ht="15">
      <c r="E894" s="9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5:30" ht="15">
      <c r="E895" s="9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5:30" ht="15">
      <c r="E896" s="9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5:30" ht="15">
      <c r="E897" s="9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5:30" ht="15">
      <c r="E898" s="9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5:30" ht="15">
      <c r="E899" s="9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5:30" ht="15">
      <c r="E900" s="9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5:30" ht="15">
      <c r="E901" s="9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5:30" ht="15">
      <c r="E902" s="9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5:30" ht="15">
      <c r="E903" s="9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5:30" ht="15">
      <c r="E904" s="9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5:30" ht="15">
      <c r="E905" s="9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5:30" ht="15">
      <c r="E906" s="9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5:30" ht="15">
      <c r="E907" s="9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5:30" ht="15">
      <c r="E908" s="9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5:30" ht="15">
      <c r="E909" s="9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5:30" ht="15">
      <c r="E910" s="9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5:30" ht="15">
      <c r="E911" s="9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5:30" ht="15">
      <c r="E912" s="9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5:30" ht="15">
      <c r="E913" s="9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5:30" ht="15">
      <c r="E914" s="9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5:30" ht="15">
      <c r="E915" s="9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5:30" ht="15">
      <c r="E916" s="9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5:30" ht="15">
      <c r="E917" s="9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5:30" ht="15">
      <c r="E918" s="9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5:30" ht="15">
      <c r="E919" s="9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5:30" ht="15">
      <c r="E920" s="9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5:30" ht="15">
      <c r="E921" s="9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5:30" ht="15">
      <c r="E922" s="9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5:30" ht="15">
      <c r="E923" s="9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5:30" ht="15">
      <c r="E924" s="9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5:30" ht="15">
      <c r="E925" s="9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5:30" ht="15">
      <c r="E926" s="9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5:30" ht="15">
      <c r="E927" s="9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5:30" ht="15">
      <c r="E928" s="9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5:30" ht="15">
      <c r="E929" s="9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5:30" ht="15">
      <c r="E930" s="9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5:30" ht="15">
      <c r="E931" s="9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5:30" ht="15">
      <c r="E932" s="9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5:30" ht="15">
      <c r="E933" s="9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5:30" ht="15">
      <c r="E934" s="9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5:30" ht="15">
      <c r="E935" s="9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5:30" ht="15">
      <c r="E936" s="9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5:30" ht="15">
      <c r="E937" s="9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5:30" ht="15">
      <c r="E938" s="9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5:30" ht="15">
      <c r="E939" s="9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5:30" ht="15">
      <c r="E940" s="9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5:30" ht="15">
      <c r="E941" s="9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5:30" ht="15">
      <c r="E942" s="9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5:30" ht="15">
      <c r="E943" s="9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5:30" ht="15">
      <c r="E944" s="9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5:30" ht="15">
      <c r="E945" s="9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5:30" ht="15">
      <c r="E946" s="9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5:30" ht="15">
      <c r="E947" s="9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5:30" ht="15">
      <c r="E948" s="9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5:30" ht="15">
      <c r="E949" s="9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5:30" ht="15">
      <c r="E950" s="9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5:30" ht="15">
      <c r="E951" s="9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5:30" ht="15">
      <c r="E952" s="9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5:30" ht="15">
      <c r="E953" s="9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5:30" ht="15">
      <c r="E954" s="9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5:30" ht="15">
      <c r="E955" s="9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5:30" ht="15">
      <c r="E956" s="9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5:30" ht="15">
      <c r="E957" s="9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5:30" ht="15">
      <c r="E958" s="9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5:30" ht="15">
      <c r="E959" s="9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5:30" ht="15">
      <c r="E960" s="9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5:30" ht="15">
      <c r="E961" s="9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5:30" ht="15">
      <c r="E962" s="9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5:30" ht="15">
      <c r="E963" s="9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5:30" ht="15">
      <c r="E964" s="9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5:30" ht="15">
      <c r="E965" s="9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5:30" ht="15">
      <c r="E966" s="9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5:30" ht="15">
      <c r="E967" s="9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5:30" ht="15">
      <c r="E968" s="9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5:30" ht="15">
      <c r="E969" s="9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5:30" ht="15">
      <c r="E970" s="9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5:30" ht="15">
      <c r="E971" s="9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5:30" ht="15">
      <c r="E972" s="9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5:30" ht="15">
      <c r="E973" s="9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5:30" ht="15">
      <c r="E974" s="9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5:30" ht="15">
      <c r="E975" s="9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5:30" ht="15">
      <c r="E976" s="9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5:30" ht="15">
      <c r="E977" s="9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5:30" ht="15">
      <c r="E978" s="9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5:30" ht="15">
      <c r="E979" s="9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5:30" ht="15">
      <c r="E980" s="9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5:30" ht="15">
      <c r="E981" s="9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5:30" ht="15">
      <c r="E982" s="9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5:30" ht="15">
      <c r="E983" s="9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5:30" ht="15">
      <c r="E984" s="9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5:30" ht="15">
      <c r="E985" s="9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5:30" ht="15">
      <c r="E986" s="9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5:30" ht="15">
      <c r="E987" s="9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5:30" ht="15">
      <c r="E988" s="9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5:30" ht="15">
      <c r="E989" s="9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5:30" ht="15">
      <c r="E990" s="9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5:30" ht="15">
      <c r="E991" s="9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5:30" ht="15">
      <c r="E992" s="9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5:30" ht="15">
      <c r="E993" s="9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5:30" ht="15">
      <c r="E994" s="9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5:30" ht="15">
      <c r="E995" s="9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5:30" ht="15">
      <c r="E996" s="9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5:30" ht="15">
      <c r="E997" s="9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5:30" ht="15">
      <c r="E998" s="9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5:30" ht="15">
      <c r="E999" s="9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5:30" ht="15">
      <c r="E1000" s="9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5:30" ht="15">
      <c r="E1001" s="9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</row>
    <row r="1002" spans="5:30" ht="15">
      <c r="E1002" s="9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</row>
    <row r="1003" spans="5:30" ht="15">
      <c r="E1003" s="9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</row>
    <row r="1004" spans="5:30" ht="15">
      <c r="E1004" s="9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</row>
    <row r="1005" spans="5:30" ht="15">
      <c r="E1005" s="9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</row>
    <row r="1006" spans="5:30" ht="15">
      <c r="E1006" s="9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</row>
    <row r="1007" spans="5:30" ht="15">
      <c r="E1007" s="9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</row>
    <row r="1008" spans="5:30" ht="15">
      <c r="E1008" s="9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</row>
    <row r="1009" spans="5:30" ht="15">
      <c r="E1009" s="9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</row>
    <row r="1010" spans="5:30" ht="15">
      <c r="E1010" s="9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</row>
    <row r="1011" spans="5:30" ht="15">
      <c r="E1011" s="9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</row>
    <row r="1012" spans="5:30" ht="15">
      <c r="E1012" s="9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</row>
    <row r="1013" spans="5:30" ht="15">
      <c r="E1013" s="9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</row>
    <row r="1014" spans="5:30" ht="15">
      <c r="E1014" s="9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</row>
    <row r="1015" spans="5:30" ht="15">
      <c r="E1015" s="9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</row>
    <row r="1016" spans="5:30" ht="15">
      <c r="E1016" s="9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</row>
    <row r="1017" spans="5:30" ht="15">
      <c r="E1017" s="9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</row>
    <row r="1018" spans="5:30" ht="15">
      <c r="E1018" s="9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</row>
    <row r="1019" spans="5:30" ht="15">
      <c r="E1019" s="9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</row>
    <row r="1020" spans="5:30" ht="15">
      <c r="E1020" s="9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</row>
    <row r="1021" spans="5:30" ht="15">
      <c r="E1021" s="9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</row>
    <row r="1022" spans="5:30" ht="15">
      <c r="E1022" s="9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</row>
    <row r="1023" spans="5:30" ht="15">
      <c r="E1023" s="9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</row>
    <row r="1024" spans="5:30" ht="15">
      <c r="E1024" s="9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</row>
    <row r="1025" spans="5:30" ht="15">
      <c r="E1025" s="9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</row>
    <row r="1026" spans="5:30" ht="15">
      <c r="E1026" s="9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</row>
    <row r="1027" spans="5:30" ht="15">
      <c r="E1027" s="9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</row>
    <row r="1028" spans="5:30" ht="15">
      <c r="E1028" s="9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</row>
    <row r="1029" spans="5:30" ht="15">
      <c r="E1029" s="9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</row>
    <row r="1030" spans="5:30" ht="15">
      <c r="E1030" s="9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</row>
    <row r="1031" spans="5:30" ht="15">
      <c r="E1031" s="9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</row>
    <row r="1032" spans="5:30" ht="15">
      <c r="E1032" s="9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</row>
    <row r="1033" spans="5:30" ht="15">
      <c r="E1033" s="9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</row>
    <row r="1034" spans="5:30" ht="15">
      <c r="E1034" s="9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</row>
    <row r="1035" spans="5:30" ht="15">
      <c r="E1035" s="9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</row>
    <row r="1036" spans="5:30" ht="15">
      <c r="E1036" s="9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</row>
    <row r="1037" spans="5:30" ht="15">
      <c r="E1037" s="9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</row>
    <row r="1038" spans="5:30" ht="15">
      <c r="E1038" s="9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</row>
    <row r="1039" spans="5:30" ht="15">
      <c r="E1039" s="9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</row>
    <row r="1040" spans="5:30" ht="15">
      <c r="E1040" s="9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</row>
    <row r="1041" spans="5:30" ht="15">
      <c r="E1041" s="9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</row>
    <row r="1042" spans="5:30" ht="15">
      <c r="E1042" s="9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</row>
    <row r="1043" spans="5:30" ht="15">
      <c r="E1043" s="9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</row>
    <row r="1044" spans="5:30" ht="15">
      <c r="E1044" s="9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</row>
    <row r="1045" spans="5:30" ht="15">
      <c r="E1045" s="9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</row>
    <row r="1046" spans="5:30" ht="15">
      <c r="E1046" s="9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</row>
    <row r="1047" spans="5:30" ht="15">
      <c r="E1047" s="9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</row>
    <row r="1048" spans="5:30" ht="15">
      <c r="E1048" s="9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</row>
    <row r="1049" spans="5:30" ht="15">
      <c r="E1049" s="9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</row>
    <row r="1050" spans="5:30" ht="15">
      <c r="E1050" s="9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</row>
    <row r="1051" spans="5:30" ht="15">
      <c r="E1051" s="9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</row>
    <row r="1052" spans="5:30" ht="15">
      <c r="E1052" s="9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</row>
    <row r="1053" spans="5:30" ht="15">
      <c r="E1053" s="9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</row>
    <row r="1054" spans="5:30" ht="15">
      <c r="E1054" s="9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</row>
    <row r="1055" spans="5:30" ht="15">
      <c r="E1055" s="9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</row>
    <row r="1056" spans="5:30" ht="15">
      <c r="E1056" s="9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</row>
    <row r="1057" spans="5:30" ht="15">
      <c r="E1057" s="9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</row>
    <row r="1058" spans="5:30" ht="15">
      <c r="E1058" s="9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</row>
    <row r="1059" spans="5:30" ht="15">
      <c r="E1059" s="9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</row>
    <row r="1060" spans="5:30" ht="15">
      <c r="E1060" s="9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</row>
    <row r="1061" spans="5:30" ht="15">
      <c r="E1061" s="9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</row>
    <row r="1062" spans="5:30" ht="15">
      <c r="E1062" s="9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</row>
    <row r="1063" spans="5:30" ht="15">
      <c r="E1063" s="9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</row>
    <row r="1064" spans="5:30" ht="15">
      <c r="E1064" s="9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</row>
    <row r="1065" spans="5:30" ht="15">
      <c r="E1065" s="9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</row>
    <row r="1066" spans="5:30" ht="15">
      <c r="E1066" s="9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</row>
    <row r="1067" spans="5:30" ht="15">
      <c r="E1067" s="9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</row>
    <row r="1068" spans="5:30" ht="15">
      <c r="E1068" s="9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</row>
    <row r="1069" spans="5:30" ht="15">
      <c r="E1069" s="9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</row>
    <row r="1070" spans="5:30" ht="15">
      <c r="E1070" s="9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</row>
    <row r="1071" spans="5:30" ht="15">
      <c r="E1071" s="9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</row>
    <row r="1072" spans="5:30" ht="15">
      <c r="E1072" s="9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</row>
    <row r="1073" spans="5:30" ht="15">
      <c r="E1073" s="9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</row>
    <row r="1074" spans="5:30" ht="15">
      <c r="E1074" s="9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</row>
    <row r="1075" spans="5:30" ht="15">
      <c r="E1075" s="9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</row>
    <row r="1076" spans="5:30" ht="15">
      <c r="E1076" s="9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</row>
    <row r="1077" spans="5:30" ht="15">
      <c r="E1077" s="9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</row>
    <row r="1078" spans="5:30" ht="15">
      <c r="E1078" s="9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</row>
    <row r="1079" spans="5:30" ht="15">
      <c r="E1079" s="9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</row>
    <row r="1080" spans="5:30" ht="15">
      <c r="E1080" s="9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</row>
    <row r="1081" spans="5:30" ht="15">
      <c r="E1081" s="9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</row>
    <row r="1082" spans="5:30" ht="15">
      <c r="E1082" s="9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</row>
    <row r="1083" spans="5:30" ht="15">
      <c r="E1083" s="9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</row>
    <row r="1084" spans="5:30" ht="15">
      <c r="E1084" s="9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</row>
    <row r="1085" spans="5:30" ht="15">
      <c r="E1085" s="9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</row>
    <row r="1086" spans="5:30" ht="15">
      <c r="E1086" s="9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</row>
    <row r="1087" spans="5:30" ht="15">
      <c r="E1087" s="9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</row>
    <row r="1088" spans="5:30" ht="15">
      <c r="E1088" s="9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</row>
    <row r="1089" spans="5:30" ht="15">
      <c r="E1089" s="9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</row>
    <row r="1090" spans="5:30" ht="15">
      <c r="E1090" s="9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</row>
    <row r="1091" spans="5:30" ht="15">
      <c r="E1091" s="9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</row>
    <row r="1092" spans="5:30" ht="15">
      <c r="E1092" s="9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</row>
    <row r="1093" spans="5:30" ht="15">
      <c r="E1093" s="9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</row>
    <row r="1094" spans="5:30" ht="15">
      <c r="E1094" s="9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</row>
    <row r="1095" spans="5:30" ht="15">
      <c r="E1095" s="9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</row>
    <row r="1096" spans="5:30" ht="15">
      <c r="E1096" s="9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</row>
    <row r="1097" spans="5:30" ht="15">
      <c r="E1097" s="9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</row>
    <row r="1098" spans="5:30" ht="15">
      <c r="E1098" s="9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</row>
    <row r="1099" spans="5:30" ht="15">
      <c r="E1099" s="9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</row>
    <row r="1100" spans="5:30" ht="15">
      <c r="E1100" s="9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</row>
    <row r="1101" spans="5:30" ht="15">
      <c r="E1101" s="9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</row>
    <row r="1102" spans="5:30" ht="15">
      <c r="E1102" s="9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</row>
    <row r="1103" spans="5:30" ht="15">
      <c r="E1103" s="9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</row>
    <row r="1104" spans="5:30" ht="15">
      <c r="E1104" s="9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</row>
    <row r="1105" spans="5:30" ht="15">
      <c r="E1105" s="9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</row>
    <row r="1106" spans="5:30" ht="15">
      <c r="E1106" s="9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</row>
    <row r="1107" spans="5:30" ht="15">
      <c r="E1107" s="9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</row>
    <row r="1108" spans="5:30" ht="15">
      <c r="E1108" s="9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</row>
    <row r="1109" spans="5:30" ht="15">
      <c r="E1109" s="9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</row>
    <row r="1110" spans="5:30" ht="15">
      <c r="E1110" s="9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</row>
    <row r="1111" spans="5:30" ht="15">
      <c r="E1111" s="9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</row>
    <row r="1112" spans="5:30" ht="15">
      <c r="E1112" s="9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</row>
    <row r="1113" spans="5:30" ht="15">
      <c r="E1113" s="9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</row>
    <row r="1114" spans="5:30" ht="15">
      <c r="E1114" s="9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</row>
    <row r="1115" spans="5:30" ht="15">
      <c r="E1115" s="9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</row>
    <row r="1116" spans="5:30" ht="15">
      <c r="E1116" s="9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</row>
    <row r="1117" spans="5:30" ht="15">
      <c r="E1117" s="9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</row>
    <row r="1118" spans="5:30" ht="15">
      <c r="E1118" s="9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</row>
    <row r="1119" spans="5:30" ht="15">
      <c r="E1119" s="9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</row>
    <row r="1120" spans="5:30" ht="15">
      <c r="E1120" s="9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</row>
    <row r="1121" spans="5:30" ht="15">
      <c r="E1121" s="9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</row>
    <row r="1122" spans="5:30" ht="15">
      <c r="E1122" s="9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</row>
    <row r="1123" spans="5:30" ht="15">
      <c r="E1123" s="9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</row>
    <row r="1124" spans="5:30" ht="15">
      <c r="E1124" s="9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</row>
    <row r="1125" spans="5:30" ht="15">
      <c r="E1125" s="9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</row>
    <row r="1126" spans="5:30" ht="15">
      <c r="E1126" s="9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</row>
    <row r="1127" spans="5:30" ht="15">
      <c r="E1127" s="9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</row>
    <row r="1128" spans="5:30" ht="15">
      <c r="E1128" s="9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</row>
    <row r="1129" spans="5:30" ht="15">
      <c r="E1129" s="9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</row>
    <row r="1130" spans="5:30" ht="15">
      <c r="E1130" s="9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</row>
    <row r="1131" spans="5:30" ht="15">
      <c r="E1131" s="9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</row>
    <row r="1132" spans="5:30" ht="15">
      <c r="E1132" s="9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</row>
    <row r="1133" spans="5:30" ht="15">
      <c r="E1133" s="9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</row>
    <row r="1134" spans="5:30" ht="15">
      <c r="E1134" s="9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</row>
    <row r="1135" spans="5:30" ht="15">
      <c r="E1135" s="9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</row>
    <row r="1136" spans="5:30" ht="15">
      <c r="E1136" s="9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</row>
    <row r="1137" spans="5:30" ht="15">
      <c r="E1137" s="9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</row>
    <row r="1138" spans="5:30" ht="15">
      <c r="E1138" s="9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</row>
    <row r="1139" spans="5:30" ht="15">
      <c r="E1139" s="9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</row>
    <row r="1140" spans="5:30" ht="15">
      <c r="E1140" s="9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</row>
    <row r="1141" spans="5:30" ht="15">
      <c r="E1141" s="9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</row>
    <row r="1142" spans="5:30" ht="15">
      <c r="E1142" s="9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</row>
    <row r="1143" spans="5:30" ht="15">
      <c r="E1143" s="9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</row>
    <row r="1144" spans="5:30" ht="15">
      <c r="E1144" s="9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</row>
    <row r="1145" spans="5:30" ht="15">
      <c r="E1145" s="9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</row>
    <row r="1146" spans="5:30" ht="15">
      <c r="E1146" s="9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</row>
    <row r="1147" spans="5:30" ht="15">
      <c r="E1147" s="9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</row>
    <row r="1148" spans="5:30" ht="15">
      <c r="E1148" s="9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</row>
    <row r="1149" spans="5:30" ht="15">
      <c r="E1149" s="9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</row>
    <row r="1150" spans="5:30" ht="15">
      <c r="E1150" s="9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</row>
    <row r="1151" spans="5:30" ht="15">
      <c r="E1151" s="9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</row>
    <row r="1152" spans="5:30" ht="15">
      <c r="E1152" s="9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</row>
    <row r="1153" spans="5:30" ht="15">
      <c r="E1153" s="9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</row>
    <row r="1154" spans="5:30" ht="15">
      <c r="E1154" s="9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</row>
    <row r="1155" spans="5:30" ht="15">
      <c r="E1155" s="9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</row>
    <row r="1156" spans="5:30" ht="15">
      <c r="E1156" s="9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</row>
    <row r="1157" spans="5:30" ht="15">
      <c r="E1157" s="9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</row>
    <row r="1158" spans="5:30" ht="15">
      <c r="E1158" s="9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</row>
    <row r="1159" spans="5:30" ht="15">
      <c r="E1159" s="9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</row>
    <row r="1160" spans="5:30" ht="15">
      <c r="E1160" s="9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</row>
    <row r="1161" spans="5:30" ht="15">
      <c r="E1161" s="9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</row>
    <row r="1162" spans="5:30" ht="15">
      <c r="E1162" s="9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</row>
    <row r="1163" spans="5:30" ht="15">
      <c r="E1163" s="9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</row>
    <row r="1164" spans="5:30" ht="15">
      <c r="E1164" s="9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</row>
    <row r="1165" spans="5:30" ht="15">
      <c r="E1165" s="9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</row>
    <row r="1166" spans="5:30" ht="15">
      <c r="E1166" s="9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</row>
    <row r="1167" spans="5:30" ht="15">
      <c r="E1167" s="9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</row>
    <row r="1168" spans="5:30" ht="15">
      <c r="E1168" s="9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</row>
    <row r="1169" spans="5:30" ht="15">
      <c r="E1169" s="9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</row>
    <row r="1170" spans="5:30" ht="15">
      <c r="E1170" s="9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</row>
    <row r="1171" spans="5:30" ht="15">
      <c r="E1171" s="9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</row>
    <row r="1172" spans="5:30" ht="15">
      <c r="E1172" s="9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</row>
    <row r="1173" spans="5:30" ht="15">
      <c r="E1173" s="9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</row>
    <row r="1174" spans="5:30" ht="15">
      <c r="E1174" s="9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</row>
    <row r="1175" spans="5:30" ht="15">
      <c r="E1175" s="9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</row>
    <row r="1176" spans="5:30" ht="15">
      <c r="E1176" s="9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</row>
    <row r="1177" spans="5:30" ht="15">
      <c r="E1177" s="9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</row>
    <row r="1178" spans="5:30" ht="15">
      <c r="E1178" s="9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</row>
    <row r="1179" spans="5:30" ht="15">
      <c r="E1179" s="9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</row>
    <row r="1180" spans="5:30" ht="15">
      <c r="E1180" s="9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</row>
    <row r="1181" spans="5:30" ht="15">
      <c r="E1181" s="9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</row>
    <row r="1182" spans="5:30" ht="15">
      <c r="E1182" s="9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</row>
    <row r="1183" spans="5:30" ht="15">
      <c r="E1183" s="9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</row>
    <row r="1184" spans="5:30" ht="15">
      <c r="E1184" s="9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</row>
    <row r="1185" spans="5:30" ht="15">
      <c r="E1185" s="9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</row>
    <row r="1186" spans="5:30" ht="15">
      <c r="E1186" s="9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</row>
    <row r="1187" spans="5:30" ht="15">
      <c r="E1187" s="9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</row>
    <row r="1188" spans="5:30" ht="15">
      <c r="E1188" s="9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</row>
    <row r="1189" spans="5:30" ht="15">
      <c r="E1189" s="9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</row>
    <row r="1190" spans="5:30" ht="15">
      <c r="E1190" s="9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</row>
    <row r="1191" spans="5:30" ht="15">
      <c r="E1191" s="9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</row>
    <row r="1192" spans="5:30" ht="15">
      <c r="E1192" s="9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</row>
    <row r="1193" spans="5:30" ht="15">
      <c r="E1193" s="9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</row>
    <row r="1194" spans="5:30" ht="15">
      <c r="E1194" s="9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</row>
    <row r="1195" spans="5:30" ht="15">
      <c r="E1195" s="9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</row>
    <row r="1196" spans="5:30" ht="15">
      <c r="E1196" s="9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</row>
    <row r="1197" spans="5:30" ht="15">
      <c r="E1197" s="9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</row>
    <row r="1198" spans="5:30" ht="15">
      <c r="E1198" s="9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</row>
    <row r="1199" spans="5:30" ht="15">
      <c r="E1199" s="9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</row>
    <row r="1200" spans="5:30" ht="15">
      <c r="E1200" s="9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</row>
    <row r="1201" spans="5:30" ht="15">
      <c r="E1201" s="9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</row>
    <row r="1202" spans="5:30" ht="15">
      <c r="E1202" s="9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</row>
    <row r="1203" spans="5:30" ht="15">
      <c r="E1203" s="9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</row>
    <row r="1204" spans="5:30" ht="15">
      <c r="E1204" s="9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</row>
    <row r="1205" spans="5:30" ht="15">
      <c r="E1205" s="9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</row>
    <row r="1206" spans="5:30" ht="15">
      <c r="E1206" s="9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</row>
    <row r="1207" spans="5:30" ht="15">
      <c r="E1207" s="9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</row>
    <row r="1208" spans="5:30" ht="15">
      <c r="E1208" s="9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</row>
    <row r="1209" spans="5:30" ht="15">
      <c r="E1209" s="9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</row>
    <row r="1210" spans="5:30" ht="15">
      <c r="E1210" s="9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</row>
    <row r="1211" spans="5:30" ht="15">
      <c r="E1211" s="9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</row>
    <row r="1212" spans="5:30" ht="15">
      <c r="E1212" s="9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</row>
    <row r="1213" spans="5:30" ht="15">
      <c r="E1213" s="9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</row>
    <row r="1214" spans="5:30" ht="15">
      <c r="E1214" s="9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</row>
    <row r="1215" spans="5:30" ht="15">
      <c r="E1215" s="9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</row>
    <row r="1216" spans="5:30" ht="15">
      <c r="E1216" s="9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</row>
    <row r="1217" spans="5:30" ht="15">
      <c r="E1217" s="9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</row>
    <row r="1218" spans="5:30" ht="15">
      <c r="E1218" s="9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</row>
    <row r="1219" spans="5:30" ht="15">
      <c r="E1219" s="9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</row>
    <row r="1220" spans="5:30" ht="15">
      <c r="E1220" s="9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</row>
    <row r="1221" spans="5:30" ht="15">
      <c r="E1221" s="9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</row>
    <row r="1222" spans="5:30" ht="15">
      <c r="E1222" s="9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</row>
    <row r="1223" spans="5:30" ht="15">
      <c r="E1223" s="9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</row>
    <row r="1224" spans="5:30" ht="15">
      <c r="E1224" s="9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</row>
    <row r="1225" spans="5:30" ht="15">
      <c r="E1225" s="9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</row>
    <row r="1226" spans="5:30" ht="15">
      <c r="E1226" s="9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</row>
    <row r="1227" spans="5:30" ht="15">
      <c r="E1227" s="9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</row>
    <row r="1228" spans="5:30" ht="15">
      <c r="E1228" s="9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</row>
    <row r="1229" spans="5:30" ht="15">
      <c r="E1229" s="9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</row>
    <row r="1230" spans="5:30" ht="15">
      <c r="E1230" s="9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</row>
    <row r="1231" spans="5:30" ht="15">
      <c r="E1231" s="9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</row>
    <row r="1232" spans="5:30" ht="15">
      <c r="E1232" s="9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</row>
    <row r="1233" spans="5:30" ht="15">
      <c r="E1233" s="9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</row>
    <row r="1234" spans="5:30" ht="15">
      <c r="E1234" s="9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</row>
    <row r="1235" spans="5:30" ht="15">
      <c r="E1235" s="9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</row>
    <row r="1236" spans="5:30" ht="15">
      <c r="E1236" s="9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</row>
    <row r="1237" spans="5:30" ht="15">
      <c r="E1237" s="9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</row>
    <row r="1238" spans="5:30" ht="15">
      <c r="E1238" s="9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</row>
    <row r="1239" spans="5:30" ht="15">
      <c r="E1239" s="9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</row>
    <row r="1240" spans="5:30" ht="15">
      <c r="E1240" s="9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</row>
    <row r="1241" spans="5:30" ht="15">
      <c r="E1241" s="9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</row>
    <row r="1242" spans="5:30" ht="15">
      <c r="E1242" s="9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</row>
    <row r="1243" spans="5:30" ht="15">
      <c r="E1243" s="9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</row>
    <row r="1244" spans="5:30" ht="15">
      <c r="E1244" s="9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</row>
    <row r="1245" spans="5:30" ht="15">
      <c r="E1245" s="9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</row>
    <row r="1246" spans="5:30" ht="15">
      <c r="E1246" s="9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</row>
    <row r="1247" spans="5:30" ht="15">
      <c r="E1247" s="9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</row>
    <row r="1248" spans="5:30" ht="15">
      <c r="E1248" s="9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</row>
    <row r="1249" spans="5:30" ht="15">
      <c r="E1249" s="9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</row>
    <row r="1250" spans="5:30" ht="15">
      <c r="E1250" s="9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</row>
    <row r="1251" spans="5:30" ht="15">
      <c r="E1251" s="9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</row>
    <row r="1252" spans="5:30" ht="15">
      <c r="E1252" s="9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</row>
    <row r="1253" spans="5:30" ht="15">
      <c r="E1253" s="9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</row>
    <row r="1254" spans="5:30" ht="15">
      <c r="E1254" s="9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</row>
    <row r="1255" spans="5:30" ht="15">
      <c r="E1255" s="9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</row>
    <row r="1256" spans="5:30" ht="15">
      <c r="E1256" s="9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</row>
    <row r="1257" spans="5:30" ht="15">
      <c r="E1257" s="9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</row>
    <row r="1258" spans="5:30" ht="15">
      <c r="E1258" s="9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</row>
    <row r="1259" spans="5:30" ht="15">
      <c r="E1259" s="9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</row>
    <row r="1260" spans="5:30" ht="15">
      <c r="E1260" s="9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</row>
    <row r="1261" spans="5:30" ht="15">
      <c r="E1261" s="9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</row>
    <row r="1262" spans="5:30" ht="15">
      <c r="E1262" s="9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</row>
    <row r="1263" spans="5:30" ht="15">
      <c r="E1263" s="9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</row>
    <row r="1264" spans="5:30" ht="15">
      <c r="E1264" s="9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</row>
    <row r="1265" spans="5:30" ht="15">
      <c r="E1265" s="9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</row>
    <row r="1266" spans="5:30" ht="15">
      <c r="E1266" s="9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</row>
    <row r="1267" spans="5:30" ht="15">
      <c r="E1267" s="9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</row>
    <row r="1268" spans="5:30" ht="15">
      <c r="E1268" s="9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</row>
    <row r="1269" spans="5:30" ht="15">
      <c r="E1269" s="9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</row>
    <row r="1270" spans="5:30" ht="15">
      <c r="E1270" s="9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</row>
    <row r="1271" spans="5:30" ht="15">
      <c r="E1271" s="9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</row>
    <row r="1272" spans="5:30" ht="15">
      <c r="E1272" s="9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</row>
    <row r="1273" spans="5:30" ht="15">
      <c r="E1273" s="9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</row>
    <row r="1274" spans="5:30" ht="15">
      <c r="E1274" s="9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</row>
    <row r="1275" spans="5:30" ht="15">
      <c r="E1275" s="9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</row>
    <row r="1276" spans="5:30" ht="15">
      <c r="E1276" s="9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</row>
    <row r="1277" spans="5:30" ht="15">
      <c r="E1277" s="9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</row>
    <row r="1278" spans="5:30" ht="15">
      <c r="E1278" s="9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</row>
    <row r="1279" spans="5:30" ht="15">
      <c r="E1279" s="9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</row>
    <row r="1280" spans="5:30" ht="15">
      <c r="E1280" s="9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</row>
    <row r="1281" spans="5:30" ht="15">
      <c r="E1281" s="9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</row>
    <row r="1282" spans="5:30" ht="15">
      <c r="E1282" s="9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</row>
    <row r="1283" spans="5:30" ht="15">
      <c r="E1283" s="9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</row>
    <row r="1284" spans="5:30" ht="15">
      <c r="E1284" s="9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</row>
    <row r="1285" spans="5:30" ht="15">
      <c r="E1285" s="9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</row>
    <row r="1286" spans="5:30" ht="15">
      <c r="E1286" s="9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</row>
    <row r="1287" spans="5:30" ht="15">
      <c r="E1287" s="9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</row>
    <row r="1288" spans="5:30" ht="15">
      <c r="E1288" s="9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</row>
    <row r="1289" spans="5:30" ht="15">
      <c r="E1289" s="9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</row>
    <row r="1290" spans="5:30" ht="15">
      <c r="E1290" s="9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</row>
    <row r="1291" spans="5:30" ht="15">
      <c r="E1291" s="9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</row>
    <row r="1292" spans="5:30" ht="15">
      <c r="E1292" s="9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</row>
    <row r="1293" spans="5:30" ht="15">
      <c r="E1293" s="9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</row>
    <row r="1294" spans="5:30" ht="15">
      <c r="E1294" s="9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</row>
    <row r="1295" spans="5:30" ht="15">
      <c r="E1295" s="9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</row>
    <row r="1296" spans="5:30" ht="15">
      <c r="E1296" s="9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</row>
    <row r="1297" spans="5:30" ht="15">
      <c r="E1297" s="9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</row>
    <row r="1298" spans="5:30" ht="15">
      <c r="E1298" s="9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</row>
    <row r="1299" spans="5:30" ht="15">
      <c r="E1299" s="9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</row>
    <row r="1300" spans="5:30" ht="15">
      <c r="E1300" s="9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</row>
    <row r="1301" spans="5:30" ht="15">
      <c r="E1301" s="9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</row>
    <row r="1302" spans="5:30" ht="15">
      <c r="E1302" s="9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</row>
    <row r="1303" spans="5:30" ht="15">
      <c r="E1303" s="9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</row>
    <row r="1304" spans="5:30" ht="15">
      <c r="E1304" s="9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</row>
    <row r="1305" spans="5:30" ht="15">
      <c r="E1305" s="9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</row>
    <row r="1306" spans="5:30" ht="15">
      <c r="E1306" s="9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</row>
    <row r="1307" spans="5:30" ht="15">
      <c r="E1307" s="9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</row>
    <row r="1308" spans="5:30" ht="15">
      <c r="E1308" s="9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</row>
    <row r="1309" spans="5:30" ht="15">
      <c r="E1309" s="9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</row>
    <row r="1310" spans="5:30" ht="15">
      <c r="E1310" s="9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</row>
    <row r="1311" spans="5:30" ht="15">
      <c r="E1311" s="9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</row>
    <row r="1312" spans="5:30" ht="15">
      <c r="E1312" s="9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</row>
    <row r="1313" spans="5:30" ht="15">
      <c r="E1313" s="9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</row>
    <row r="1314" spans="5:30" ht="15">
      <c r="E1314" s="9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</row>
    <row r="1315" spans="5:30" ht="15">
      <c r="E1315" s="9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</row>
    <row r="1316" spans="5:30" ht="15">
      <c r="E1316" s="9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</row>
    <row r="1317" spans="5:30" ht="15">
      <c r="E1317" s="9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</row>
    <row r="1318" spans="5:30" ht="15">
      <c r="E1318" s="9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</row>
    <row r="1319" spans="5:30" ht="15">
      <c r="E1319" s="9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</row>
    <row r="1320" spans="5:30" ht="15">
      <c r="E1320" s="9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</row>
    <row r="1321" spans="5:30" ht="15">
      <c r="E1321" s="9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</row>
    <row r="1322" spans="5:30" ht="15">
      <c r="E1322" s="9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</row>
    <row r="1323" spans="5:30" ht="15">
      <c r="E1323" s="9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</row>
    <row r="1324" spans="5:30" ht="15">
      <c r="E1324" s="9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</row>
    <row r="1325" spans="5:30" ht="15">
      <c r="E1325" s="9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</row>
    <row r="1326" spans="5:30" ht="15">
      <c r="E1326" s="9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</row>
    <row r="1327" spans="5:30" ht="15">
      <c r="E1327" s="9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</row>
    <row r="1328" spans="5:30" ht="15">
      <c r="E1328" s="9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</row>
    <row r="1329" spans="5:30" ht="15">
      <c r="E1329" s="9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</row>
    <row r="1330" spans="5:30" ht="15">
      <c r="E1330" s="9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</row>
    <row r="1331" spans="5:30" ht="15">
      <c r="E1331" s="9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</row>
    <row r="1332" spans="5:30" ht="15">
      <c r="E1332" s="9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</row>
    <row r="1333" spans="5:30" ht="15">
      <c r="E1333" s="9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</row>
    <row r="1334" spans="5:30" ht="15">
      <c r="E1334" s="9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</row>
    <row r="1335" spans="5:30" ht="15">
      <c r="E1335" s="9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</row>
    <row r="1336" spans="5:30" ht="15">
      <c r="E1336" s="9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</row>
    <row r="1337" spans="5:30" ht="15">
      <c r="E1337" s="9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</row>
    <row r="1338" spans="5:30" ht="15">
      <c r="E1338" s="9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</row>
    <row r="1339" spans="5:30" ht="15">
      <c r="E1339" s="9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</row>
    <row r="1340" spans="5:30" ht="15">
      <c r="E1340" s="9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</row>
    <row r="1341" spans="5:30" ht="15">
      <c r="E1341" s="9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</row>
    <row r="1342" spans="5:30" ht="15">
      <c r="E1342" s="9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</row>
    <row r="1343" spans="5:30" ht="15">
      <c r="E1343" s="9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</row>
    <row r="1344" spans="5:30" ht="15">
      <c r="E1344" s="9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</row>
    <row r="1345" spans="5:30" ht="15">
      <c r="E1345" s="9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</row>
    <row r="1346" spans="5:30" ht="15">
      <c r="E1346" s="9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</row>
    <row r="1347" spans="5:30" ht="15">
      <c r="E1347" s="9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</row>
    <row r="1348" spans="5:30" ht="15">
      <c r="E1348" s="9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</row>
    <row r="1349" spans="5:30" ht="15">
      <c r="E1349" s="9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</row>
    <row r="1350" spans="5:30" ht="15">
      <c r="E1350" s="9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</row>
    <row r="1351" spans="5:30" ht="15">
      <c r="E1351" s="9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</row>
    <row r="1352" spans="5:30" ht="15">
      <c r="E1352" s="9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</row>
    <row r="1353" spans="5:30" ht="15">
      <c r="E1353" s="9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</row>
    <row r="1354" spans="5:30" ht="15">
      <c r="E1354" s="9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</row>
    <row r="1355" spans="5:30" ht="15">
      <c r="E1355" s="9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</row>
    <row r="1356" spans="5:30" ht="15">
      <c r="E1356" s="9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</row>
    <row r="1357" spans="5:30" ht="15">
      <c r="E1357" s="9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</row>
    <row r="1358" spans="5:30" ht="15">
      <c r="E1358" s="9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</row>
    <row r="1359" spans="5:30" ht="15">
      <c r="E1359" s="9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</row>
    <row r="1360" spans="5:30" ht="15">
      <c r="E1360" s="9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</row>
    <row r="1361" spans="5:30" ht="15">
      <c r="E1361" s="9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</row>
    <row r="1362" spans="5:30" ht="15">
      <c r="E1362" s="9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</row>
    <row r="1363" spans="5:30" ht="15">
      <c r="E1363" s="9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</row>
    <row r="1364" spans="5:30" ht="15">
      <c r="E1364" s="9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</row>
    <row r="1365" spans="5:30" ht="15">
      <c r="E1365" s="9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</row>
    <row r="1366" spans="5:30" ht="15">
      <c r="E1366" s="9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</row>
    <row r="1367" spans="5:30" ht="15">
      <c r="E1367" s="9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</row>
    <row r="1368" spans="5:30" ht="15">
      <c r="E1368" s="9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</row>
    <row r="1369" spans="5:30" ht="15">
      <c r="E1369" s="9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</row>
    <row r="1370" spans="5:30" ht="15">
      <c r="E1370" s="9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</row>
    <row r="1371" spans="5:30" ht="15">
      <c r="E1371" s="9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</row>
    <row r="1372" spans="5:30" ht="15">
      <c r="E1372" s="9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</row>
    <row r="1373" spans="5:30" ht="15">
      <c r="E1373" s="9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</row>
    <row r="1374" spans="5:30" ht="15">
      <c r="E1374" s="9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</row>
    <row r="1375" spans="5:30" ht="15">
      <c r="E1375" s="9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</row>
    <row r="1376" spans="5:30" ht="15">
      <c r="E1376" s="9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</row>
    <row r="1377" spans="5:30" ht="15">
      <c r="E1377" s="9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</row>
    <row r="1378" spans="5:30" ht="15">
      <c r="E1378" s="9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</row>
    <row r="1379" spans="5:30" ht="15">
      <c r="E1379" s="9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</row>
    <row r="1380" spans="5:30" ht="15">
      <c r="E1380" s="9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</row>
    <row r="1381" spans="5:30" ht="15">
      <c r="E1381" s="9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</row>
    <row r="1382" spans="5:30" ht="15">
      <c r="E1382" s="9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</row>
    <row r="1383" spans="5:30" ht="15">
      <c r="E1383" s="9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</row>
    <row r="1384" spans="5:30" ht="15">
      <c r="E1384" s="9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</row>
    <row r="1385" spans="5:30" ht="15">
      <c r="E1385" s="9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</row>
    <row r="1386" spans="5:30" ht="15">
      <c r="E1386" s="9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</row>
    <row r="1387" spans="5:30" ht="15">
      <c r="E1387" s="9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</row>
    <row r="1388" spans="5:30" ht="15">
      <c r="E1388" s="9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</row>
    <row r="1389" spans="5:30" ht="15">
      <c r="E1389" s="9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</row>
    <row r="1390" spans="5:30" ht="15">
      <c r="E1390" s="9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</row>
    <row r="1391" spans="5:30" ht="15">
      <c r="E1391" s="9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</row>
    <row r="1392" spans="5:30" ht="15">
      <c r="E1392" s="9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</row>
    <row r="1393" spans="5:30" ht="15">
      <c r="E1393" s="9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</row>
    <row r="1394" spans="5:30" ht="15">
      <c r="E1394" s="9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</row>
    <row r="1395" spans="5:30" ht="15">
      <c r="E1395" s="9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</row>
    <row r="1396" spans="5:30" ht="15">
      <c r="E1396" s="9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</row>
    <row r="1397" spans="5:30" ht="15">
      <c r="E1397" s="9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</row>
    <row r="1398" spans="5:30" ht="15">
      <c r="E1398" s="9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</row>
    <row r="1399" spans="5:30" ht="15">
      <c r="E1399" s="9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</row>
    <row r="1400" spans="5:30" ht="15">
      <c r="E1400" s="9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</row>
    <row r="1401" spans="5:30" ht="15">
      <c r="E1401" s="9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</row>
    <row r="1402" spans="5:30" ht="15">
      <c r="E1402" s="9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</row>
    <row r="1403" spans="5:30" ht="15">
      <c r="E1403" s="9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</row>
    <row r="1404" spans="5:30" ht="15">
      <c r="E1404" s="9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</row>
    <row r="1405" spans="5:30" ht="15">
      <c r="E1405" s="9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</row>
    <row r="1406" spans="5:30" ht="15">
      <c r="E1406" s="9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</row>
    <row r="1407" spans="5:30" ht="15">
      <c r="E1407" s="9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</row>
    <row r="1408" spans="5:30" ht="15">
      <c r="E1408" s="9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</row>
    <row r="1409" spans="5:30" ht="15">
      <c r="E1409" s="9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</row>
    <row r="1410" spans="5:30" ht="15">
      <c r="E1410" s="9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</row>
    <row r="1411" spans="5:30" ht="15">
      <c r="E1411" s="9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</row>
    <row r="1412" spans="5:30" ht="15">
      <c r="E1412" s="9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</row>
    <row r="1413" spans="5:30" ht="15">
      <c r="E1413" s="9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</row>
    <row r="1414" spans="5:30" ht="15">
      <c r="E1414" s="9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</row>
    <row r="1415" spans="5:30" ht="15">
      <c r="E1415" s="9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</row>
    <row r="1416" spans="5:30" ht="15">
      <c r="E1416" s="9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</row>
    <row r="1417" spans="5:30" ht="15">
      <c r="E1417" s="9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</row>
    <row r="1418" spans="5:30" ht="15">
      <c r="E1418" s="9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</row>
    <row r="1419" spans="5:30" ht="15">
      <c r="E1419" s="9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</row>
    <row r="1420" spans="5:30" ht="15">
      <c r="E1420" s="9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</row>
    <row r="1421" spans="5:30" ht="15">
      <c r="E1421" s="9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</row>
    <row r="1422" spans="5:30" ht="15">
      <c r="E1422" s="9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</row>
    <row r="1423" spans="5:30" ht="15">
      <c r="E1423" s="9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</row>
    <row r="1424" spans="5:30" ht="15">
      <c r="E1424" s="9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</row>
    <row r="1425" spans="5:30" ht="15">
      <c r="E1425" s="9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</row>
    <row r="1426" spans="5:30" ht="15">
      <c r="E1426" s="9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</row>
    <row r="1427" spans="5:30" ht="15">
      <c r="E1427" s="9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</row>
    <row r="1428" spans="5:30" ht="15">
      <c r="E1428" s="9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</row>
    <row r="1429" spans="5:30" ht="15">
      <c r="E1429" s="9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</row>
    <row r="1430" spans="5:30" ht="15">
      <c r="E1430" s="9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</row>
    <row r="1431" spans="5:30" ht="15">
      <c r="E1431" s="9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</row>
    <row r="1432" spans="5:30" ht="15">
      <c r="E1432" s="9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</row>
    <row r="1433" spans="5:30" ht="15">
      <c r="E1433" s="9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</row>
    <row r="1434" spans="5:30" ht="15">
      <c r="E1434" s="9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</row>
    <row r="1435" spans="5:30" ht="15">
      <c r="E1435" s="9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</row>
    <row r="1436" spans="5:30" ht="15">
      <c r="E1436" s="9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</row>
    <row r="1437" spans="5:30" ht="15">
      <c r="E1437" s="9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</row>
    <row r="1438" spans="5:30" ht="15">
      <c r="E1438" s="9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</row>
    <row r="1439" spans="5:30" ht="15">
      <c r="E1439" s="9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</row>
    <row r="1440" spans="5:30" ht="15">
      <c r="E1440" s="9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</row>
    <row r="1441" spans="5:30" ht="15">
      <c r="E1441" s="9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</row>
    <row r="1442" spans="5:30" ht="15">
      <c r="E1442" s="9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</row>
    <row r="1443" spans="5:30" ht="15">
      <c r="E1443" s="9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</row>
    <row r="1444" spans="5:30" ht="15">
      <c r="E1444" s="9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</row>
    <row r="1445" spans="5:30" ht="15">
      <c r="E1445" s="9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</row>
    <row r="1446" spans="5:30" ht="15">
      <c r="E1446" s="9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</row>
    <row r="1447" spans="5:30" ht="15">
      <c r="E1447" s="9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</row>
    <row r="1448" spans="5:30" ht="15">
      <c r="E1448" s="9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</row>
    <row r="1449" spans="5:30" ht="15">
      <c r="E1449" s="9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</row>
    <row r="1450" spans="5:30" ht="15">
      <c r="E1450" s="9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</row>
    <row r="1451" spans="5:30" ht="15">
      <c r="E1451" s="9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</row>
    <row r="1452" spans="5:30" ht="15">
      <c r="E1452" s="9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</row>
    <row r="1453" spans="5:30" ht="15">
      <c r="E1453" s="9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</row>
    <row r="1454" spans="5:30" ht="15">
      <c r="E1454" s="9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</row>
    <row r="1455" spans="5:30" ht="15">
      <c r="E1455" s="9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</row>
    <row r="1456" spans="5:30" ht="15">
      <c r="E1456" s="9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</row>
    <row r="1457" spans="5:30" ht="15">
      <c r="E1457" s="9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</row>
    <row r="1458" spans="5:30" ht="15">
      <c r="E1458" s="9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</row>
    <row r="1459" spans="5:30" ht="15">
      <c r="E1459" s="9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</row>
    <row r="1460" spans="5:30" ht="15">
      <c r="E1460" s="9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</row>
    <row r="1461" spans="5:30" ht="15">
      <c r="E1461" s="9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</row>
    <row r="1462" spans="5:30" ht="15">
      <c r="E1462" s="9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</row>
    <row r="1463" spans="5:30" ht="15">
      <c r="E1463" s="9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</row>
    <row r="1464" spans="5:30" ht="15">
      <c r="E1464" s="9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</row>
    <row r="1465" spans="5:30" ht="15">
      <c r="E1465" s="9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</row>
    <row r="1466" spans="5:30" ht="15">
      <c r="E1466" s="9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</row>
    <row r="1467" spans="5:30" ht="15">
      <c r="E1467" s="9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</row>
    <row r="1468" spans="5:30" ht="15">
      <c r="E1468" s="9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</row>
    <row r="1469" spans="5:30" ht="15">
      <c r="E1469" s="9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</row>
    <row r="1470" spans="5:30" ht="15">
      <c r="E1470" s="9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</row>
    <row r="1471" spans="5:30" ht="15">
      <c r="E1471" s="9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</row>
    <row r="1472" spans="5:30" ht="15">
      <c r="E1472" s="9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</row>
    <row r="1473" spans="5:30" ht="15">
      <c r="E1473" s="9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</row>
    <row r="1474" spans="5:30" ht="15">
      <c r="E1474" s="9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</row>
    <row r="1475" spans="5:30" ht="15">
      <c r="E1475" s="9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</row>
    <row r="1476" spans="5:30" ht="15">
      <c r="E1476" s="9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</row>
    <row r="1477" spans="5:30" ht="15">
      <c r="E1477" s="9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</row>
    <row r="1478" spans="5:30" ht="15">
      <c r="E1478" s="9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</row>
    <row r="1479" spans="5:30" ht="15">
      <c r="E1479" s="9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</row>
    <row r="1480" spans="5:30" ht="15">
      <c r="E1480" s="9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</row>
    <row r="1481" spans="5:30" ht="15">
      <c r="E1481" s="9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</row>
    <row r="1482" spans="5:30" ht="15">
      <c r="E1482" s="9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</row>
    <row r="1483" spans="5:30" ht="15">
      <c r="E1483" s="9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</row>
    <row r="1484" spans="5:30" ht="15">
      <c r="E1484" s="9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</row>
    <row r="1485" spans="5:30" ht="15">
      <c r="E1485" s="9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</row>
    <row r="1486" spans="5:30" ht="15">
      <c r="E1486" s="9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</row>
    <row r="1487" spans="5:30" ht="15">
      <c r="E1487" s="9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</row>
    <row r="1488" spans="5:30" ht="15">
      <c r="E1488" s="9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</row>
    <row r="1489" spans="5:30" ht="15">
      <c r="E1489" s="9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</row>
    <row r="1490" spans="5:30" ht="15">
      <c r="E1490" s="9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</row>
    <row r="1491" spans="5:30" ht="15">
      <c r="E1491" s="9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</row>
    <row r="1492" spans="5:30" ht="15">
      <c r="E1492" s="9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</row>
    <row r="1493" spans="5:30" ht="15">
      <c r="E1493" s="9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</row>
    <row r="1494" spans="5:30" ht="15">
      <c r="E1494" s="9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</row>
    <row r="1495" spans="5:30" ht="15">
      <c r="E1495" s="9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</row>
    <row r="1496" spans="5:30" ht="15">
      <c r="E1496" s="9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</row>
    <row r="1497" spans="5:30" ht="15">
      <c r="E1497" s="9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</row>
    <row r="1498" spans="5:30" ht="15">
      <c r="E1498" s="9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</row>
    <row r="1499" spans="5:30" ht="15">
      <c r="E1499" s="9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</row>
    <row r="1500" spans="5:30" ht="15">
      <c r="E1500" s="9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</row>
    <row r="1501" spans="5:30" ht="15">
      <c r="E1501" s="9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</row>
    <row r="1502" spans="5:30" ht="15">
      <c r="E1502" s="9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</row>
    <row r="1503" spans="5:30" ht="15">
      <c r="E1503" s="9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</row>
    <row r="1504" spans="5:30" ht="15">
      <c r="E1504" s="9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</row>
    <row r="1505" spans="5:30" ht="15">
      <c r="E1505" s="9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</row>
    <row r="1506" spans="5:30" ht="15">
      <c r="E1506" s="9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</row>
    <row r="1507" spans="5:30" ht="15">
      <c r="E1507" s="9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</row>
    <row r="1508" spans="5:30" ht="15">
      <c r="E1508" s="9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</row>
    <row r="1509" spans="5:30" ht="15">
      <c r="E1509" s="9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</row>
    <row r="1510" spans="5:30" ht="15">
      <c r="E1510" s="9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</row>
    <row r="1511" spans="5:30" ht="15">
      <c r="E1511" s="9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</row>
    <row r="1512" spans="5:30" ht="15">
      <c r="E1512" s="9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</row>
    <row r="1513" spans="5:30" ht="15">
      <c r="E1513" s="9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</row>
    <row r="1514" spans="5:30" ht="15">
      <c r="E1514" s="9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</row>
    <row r="1515" spans="5:30" ht="15">
      <c r="E1515" s="9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</row>
    <row r="1516" spans="5:30" ht="15">
      <c r="E1516" s="9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</row>
    <row r="1517" spans="5:30" ht="15">
      <c r="E1517" s="9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</row>
    <row r="1518" spans="5:30" ht="15">
      <c r="E1518" s="9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</row>
    <row r="1519" spans="5:30" ht="15">
      <c r="E1519" s="9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</row>
    <row r="1520" spans="5:30" ht="15">
      <c r="E1520" s="9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</row>
    <row r="1521" spans="5:30" ht="15">
      <c r="E1521" s="9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</row>
    <row r="1522" spans="5:30" ht="15">
      <c r="E1522" s="9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</row>
    <row r="1523" spans="5:30" ht="15">
      <c r="E1523" s="9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</row>
    <row r="1524" spans="5:30" ht="15">
      <c r="E1524" s="9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</row>
    <row r="1525" spans="5:30" ht="15">
      <c r="E1525" s="9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</row>
    <row r="1526" spans="5:30" ht="15">
      <c r="E1526" s="9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</row>
    <row r="1527" spans="5:30" ht="15">
      <c r="E1527" s="9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</row>
    <row r="1528" spans="5:30" ht="15">
      <c r="E1528" s="9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</row>
    <row r="1529" spans="5:30" ht="15">
      <c r="E1529" s="9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</row>
    <row r="1530" spans="5:30" ht="15">
      <c r="E1530" s="9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</row>
    <row r="1531" spans="5:30" ht="15">
      <c r="E1531" s="9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</row>
    <row r="1532" spans="5:30" ht="15">
      <c r="E1532" s="9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</row>
    <row r="1533" spans="5:30" ht="15">
      <c r="E1533" s="9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</row>
    <row r="1534" spans="5:30" ht="15">
      <c r="E1534" s="9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</row>
    <row r="1535" spans="5:30" ht="15">
      <c r="E1535" s="9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</row>
    <row r="1536" spans="5:30" ht="15">
      <c r="E1536" s="9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</row>
    <row r="1537" spans="5:30" ht="15">
      <c r="E1537" s="9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</row>
    <row r="1538" spans="5:30" ht="15">
      <c r="E1538" s="9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</row>
    <row r="1539" spans="5:30" ht="15">
      <c r="E1539" s="9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</row>
    <row r="1540" spans="5:30" ht="15">
      <c r="E1540" s="9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</row>
    <row r="1541" spans="5:30" ht="15">
      <c r="E1541" s="9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</row>
    <row r="1542" spans="5:30" ht="15">
      <c r="E1542" s="9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</row>
    <row r="1543" spans="5:30" ht="15">
      <c r="E1543" s="9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</row>
    <row r="1544" spans="5:30" ht="15">
      <c r="E1544" s="9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</row>
    <row r="1545" spans="5:30" ht="15">
      <c r="E1545" s="9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</row>
    <row r="1546" spans="5:30" ht="15">
      <c r="E1546" s="9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</row>
    <row r="1547" spans="5:30" ht="15">
      <c r="E1547" s="9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</row>
    <row r="1548" spans="5:30" ht="15">
      <c r="E1548" s="9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</row>
    <row r="1549" spans="5:30" ht="15">
      <c r="E1549" s="9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</row>
    <row r="1550" spans="5:30" ht="15">
      <c r="E1550" s="9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</row>
    <row r="1551" spans="5:30" ht="15">
      <c r="E1551" s="9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</row>
    <row r="1552" spans="5:30" ht="15">
      <c r="E1552" s="9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</row>
    <row r="1553" spans="5:30" ht="15">
      <c r="E1553" s="9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</row>
    <row r="1554" spans="5:30" ht="15">
      <c r="E1554" s="9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</row>
    <row r="1555" spans="5:30" ht="15">
      <c r="E1555" s="9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</row>
    <row r="1556" spans="5:30" ht="15">
      <c r="E1556" s="9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</row>
    <row r="1557" spans="5:30" ht="15">
      <c r="E1557" s="9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</row>
    <row r="1558" spans="5:30" ht="15">
      <c r="E1558" s="9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</row>
    <row r="1559" spans="5:30" ht="15">
      <c r="E1559" s="9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</row>
    <row r="1560" spans="5:30" ht="15">
      <c r="E1560" s="9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</row>
    <row r="1561" spans="5:30" ht="15">
      <c r="E1561" s="9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</row>
    <row r="1562" spans="5:30" ht="15">
      <c r="E1562" s="9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</row>
    <row r="1563" spans="5:30" ht="15">
      <c r="E1563" s="9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</row>
    <row r="1564" spans="5:30" ht="15">
      <c r="E1564" s="9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</row>
    <row r="1565" spans="5:30" ht="15">
      <c r="E1565" s="9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</row>
    <row r="1566" spans="5:30" ht="15">
      <c r="E1566" s="9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</row>
    <row r="1567" spans="5:30" ht="15">
      <c r="E1567" s="9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</row>
    <row r="1568" spans="5:30" ht="15">
      <c r="E1568" s="9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</row>
    <row r="1569" spans="5:30" ht="15">
      <c r="E1569" s="9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</row>
    <row r="1570" spans="5:30" ht="15">
      <c r="E1570" s="9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</row>
    <row r="1571" spans="5:30" ht="15">
      <c r="E1571" s="9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</row>
    <row r="1572" spans="5:30" ht="15">
      <c r="E1572" s="9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</row>
    <row r="1573" spans="5:30" ht="15">
      <c r="E1573" s="9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</row>
    <row r="1574" spans="5:30" ht="15">
      <c r="E1574" s="9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</row>
    <row r="1575" spans="5:30" ht="15">
      <c r="E1575" s="9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</row>
    <row r="1576" spans="5:30" ht="15">
      <c r="E1576" s="9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</row>
    <row r="1577" spans="5:30" ht="15">
      <c r="E1577" s="9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</row>
    <row r="1578" spans="5:30" ht="15">
      <c r="E1578" s="9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</row>
    <row r="1579" spans="5:30" ht="15">
      <c r="E1579" s="9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</row>
    <row r="1580" spans="5:30" ht="15">
      <c r="E1580" s="9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</row>
    <row r="1581" spans="5:30" ht="15">
      <c r="E1581" s="9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</row>
    <row r="1582" spans="5:30" ht="15">
      <c r="E1582" s="9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</row>
    <row r="1583" spans="5:30" ht="15">
      <c r="E1583" s="9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</row>
    <row r="1584" spans="5:30" ht="15">
      <c r="E1584" s="9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</row>
    <row r="1585" spans="5:30" ht="15">
      <c r="E1585" s="9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</row>
    <row r="1586" spans="5:30" ht="15">
      <c r="E1586" s="9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</row>
    <row r="1587" spans="5:30" ht="15">
      <c r="E1587" s="9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</row>
    <row r="1588" spans="5:30" ht="15">
      <c r="E1588" s="9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</row>
    <row r="1589" spans="5:30" ht="15">
      <c r="E1589" s="9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</row>
    <row r="1590" spans="5:30" ht="15">
      <c r="E1590" s="9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</row>
    <row r="1591" spans="5:30" ht="15">
      <c r="E1591" s="9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</row>
    <row r="1592" spans="5:30" ht="15">
      <c r="E1592" s="9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</row>
    <row r="1593" spans="5:30" ht="15">
      <c r="E1593" s="9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</row>
    <row r="1594" spans="5:30" ht="15">
      <c r="E1594" s="9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</row>
    <row r="1595" spans="5:30" ht="15">
      <c r="E1595" s="9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</row>
    <row r="1596" spans="5:30" ht="15">
      <c r="E1596" s="9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</row>
    <row r="1597" spans="5:30" ht="15">
      <c r="E1597" s="9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</row>
    <row r="1598" spans="5:30" ht="15">
      <c r="E1598" s="9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</row>
    <row r="1599" spans="5:30" ht="15">
      <c r="E1599" s="9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</row>
    <row r="1600" spans="5:30" ht="15">
      <c r="E1600" s="9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</row>
    <row r="1601" spans="5:30" ht="15">
      <c r="E1601" s="9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</row>
    <row r="1602" spans="5:30" ht="15">
      <c r="E1602" s="9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</row>
    <row r="1603" spans="5:30" ht="15">
      <c r="E1603" s="9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</row>
    <row r="1604" spans="5:30" ht="15">
      <c r="E1604" s="9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</row>
    <row r="1605" spans="5:30" ht="15">
      <c r="E1605" s="9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</row>
    <row r="1606" spans="5:30" ht="15">
      <c r="E1606" s="9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</row>
    <row r="1607" spans="5:30" ht="15">
      <c r="E1607" s="9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</row>
    <row r="1608" spans="5:30" ht="15">
      <c r="E1608" s="9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</row>
    <row r="1609" spans="5:30" ht="15">
      <c r="E1609" s="9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</row>
    <row r="1610" spans="5:30" ht="15">
      <c r="E1610" s="9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</row>
    <row r="1611" spans="5:30" ht="15">
      <c r="E1611" s="9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</row>
    <row r="1612" spans="5:30" ht="15">
      <c r="E1612" s="9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</row>
    <row r="1613" spans="5:30" ht="15">
      <c r="E1613" s="9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</row>
    <row r="1614" spans="5:30" ht="15">
      <c r="E1614" s="9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</row>
    <row r="1615" spans="5:30" ht="15">
      <c r="E1615" s="9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</row>
    <row r="1616" spans="5:30" ht="15">
      <c r="E1616" s="9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</row>
    <row r="1617" spans="5:30" ht="15">
      <c r="E1617" s="9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</row>
    <row r="1618" spans="5:30" ht="15">
      <c r="E1618" s="9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</row>
    <row r="1619" spans="5:30" ht="15">
      <c r="E1619" s="9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</row>
    <row r="1620" spans="5:30" ht="15">
      <c r="E1620" s="9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</row>
    <row r="1621" spans="5:30" ht="15">
      <c r="E1621" s="9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</row>
    <row r="1622" spans="5:30" ht="15">
      <c r="E1622" s="9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</row>
    <row r="1623" spans="5:30" ht="15">
      <c r="E1623" s="9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</row>
    <row r="1624" spans="5:30" ht="15">
      <c r="E1624" s="9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</row>
    <row r="1625" spans="5:30" ht="15">
      <c r="E1625" s="9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</row>
    <row r="1626" spans="5:30" ht="15">
      <c r="E1626" s="9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</row>
    <row r="1627" spans="5:30" ht="15">
      <c r="E1627" s="9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</row>
    <row r="1628" spans="5:30" ht="15">
      <c r="E1628" s="9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</row>
    <row r="1629" spans="5:30" ht="15">
      <c r="E1629" s="9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</row>
    <row r="1630" spans="5:30" ht="15">
      <c r="E1630" s="9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</row>
    <row r="1631" spans="5:30" ht="15">
      <c r="E1631" s="9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</row>
    <row r="1632" spans="5:30" ht="15">
      <c r="E1632" s="9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</row>
    <row r="1633" spans="5:30" ht="15">
      <c r="E1633" s="9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</row>
    <row r="1634" spans="5:30" ht="15">
      <c r="E1634" s="9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</row>
    <row r="1635" spans="5:30" ht="15">
      <c r="E1635" s="9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</row>
    <row r="1636" spans="5:30" ht="15">
      <c r="E1636" s="9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</row>
    <row r="1637" spans="5:30" ht="15">
      <c r="E1637" s="9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</row>
    <row r="1638" spans="5:30" ht="15">
      <c r="E1638" s="9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</row>
    <row r="1639" spans="5:30" ht="15">
      <c r="E1639" s="9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</row>
    <row r="1640" spans="5:30" ht="15">
      <c r="E1640" s="9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</row>
    <row r="1641" spans="5:30" ht="15">
      <c r="E1641" s="9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</row>
    <row r="1642" spans="5:30" ht="15">
      <c r="E1642" s="9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</row>
    <row r="1643" spans="5:30" ht="15">
      <c r="E1643" s="9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</row>
    <row r="1644" spans="5:30" ht="15">
      <c r="E1644" s="9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</row>
    <row r="1645" spans="5:30" ht="15">
      <c r="E1645" s="9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</row>
    <row r="1646" spans="5:30" ht="15">
      <c r="E1646" s="9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</row>
    <row r="1647" spans="5:30" ht="15">
      <c r="E1647" s="9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</row>
    <row r="1648" spans="5:30" ht="15">
      <c r="E1648" s="9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</row>
    <row r="1649" spans="5:30" ht="15">
      <c r="E1649" s="9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</row>
    <row r="1650" spans="5:30" ht="15">
      <c r="E1650" s="9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</row>
    <row r="1651" spans="5:30" ht="15">
      <c r="E1651" s="9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</row>
    <row r="1652" spans="5:30" ht="15">
      <c r="E1652" s="9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</row>
    <row r="1653" spans="5:30" ht="15">
      <c r="E1653" s="9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</row>
    <row r="1654" spans="5:30" ht="15">
      <c r="E1654" s="9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</row>
    <row r="1655" spans="5:30" ht="15">
      <c r="E1655" s="9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</row>
    <row r="1656" spans="5:30" ht="15">
      <c r="E1656" s="9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</row>
    <row r="1657" spans="5:30" ht="15">
      <c r="E1657" s="9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</row>
    <row r="1658" spans="5:30" ht="15">
      <c r="E1658" s="9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</row>
    <row r="1659" spans="5:30" ht="15">
      <c r="E1659" s="9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</row>
    <row r="1660" spans="5:30" ht="15">
      <c r="E1660" s="9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</row>
    <row r="1661" spans="5:30" ht="15">
      <c r="E1661" s="9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</row>
    <row r="1662" spans="5:30" ht="15">
      <c r="E1662" s="9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</row>
    <row r="1663" spans="5:30" ht="15">
      <c r="E1663" s="9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</row>
    <row r="1664" spans="5:30" ht="15">
      <c r="E1664" s="9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</row>
    <row r="1665" spans="5:30" ht="15">
      <c r="E1665" s="9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</row>
    <row r="1666" spans="5:30" ht="15">
      <c r="E1666" s="9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</row>
    <row r="1667" spans="5:30" ht="15">
      <c r="E1667" s="9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</row>
    <row r="1668" spans="5:30" ht="15">
      <c r="E1668" s="9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</row>
    <row r="1669" spans="5:30" ht="15">
      <c r="E1669" s="9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</row>
    <row r="1670" spans="5:30" ht="15">
      <c r="E1670" s="9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</row>
    <row r="1671" spans="5:30" ht="15">
      <c r="E1671" s="9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</row>
    <row r="1672" spans="5:30" ht="15">
      <c r="E1672" s="9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</row>
    <row r="1673" spans="5:30" ht="15">
      <c r="E1673" s="9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</row>
    <row r="1674" spans="5:30" ht="15">
      <c r="E1674" s="9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</row>
    <row r="1675" spans="5:30" ht="15">
      <c r="E1675" s="9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</row>
    <row r="1676" spans="5:30" ht="15">
      <c r="E1676" s="9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</row>
    <row r="1677" spans="5:30" ht="15">
      <c r="E1677" s="9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</row>
    <row r="1678" spans="5:30" ht="15">
      <c r="E1678" s="9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</row>
    <row r="1679" spans="5:30" ht="15">
      <c r="E1679" s="9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</row>
    <row r="1680" spans="5:30" ht="15">
      <c r="E1680" s="9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</row>
    <row r="1681" spans="5:30" ht="15">
      <c r="E1681" s="9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</row>
    <row r="1682" spans="5:30" ht="15">
      <c r="E1682" s="9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</row>
    <row r="1683" spans="5:30" ht="15">
      <c r="E1683" s="9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</row>
    <row r="1684" spans="5:30" ht="15">
      <c r="E1684" s="9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</row>
    <row r="1685" spans="5:30" ht="15">
      <c r="E1685" s="9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</row>
    <row r="1686" spans="5:30" ht="15">
      <c r="E1686" s="9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</row>
    <row r="1687" spans="5:30" ht="15">
      <c r="E1687" s="9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</row>
    <row r="1688" spans="5:30" ht="15">
      <c r="E1688" s="9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</row>
    <row r="1689" spans="5:30" ht="15">
      <c r="E1689" s="9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</row>
    <row r="1690" spans="5:30" ht="15">
      <c r="E1690" s="9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</row>
    <row r="1691" spans="5:30" ht="15">
      <c r="E1691" s="9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</row>
    <row r="1692" spans="5:30" ht="15">
      <c r="E1692" s="9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</row>
    <row r="1693" spans="5:30" ht="15">
      <c r="E1693" s="9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</row>
    <row r="1694" spans="5:30" ht="15">
      <c r="E1694" s="9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</row>
    <row r="1695" spans="5:30" ht="15">
      <c r="E1695" s="9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</row>
    <row r="1696" spans="5:30" ht="15">
      <c r="E1696" s="9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</row>
    <row r="1697" spans="5:30" ht="15">
      <c r="E1697" s="9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</row>
    <row r="1698" spans="5:30" ht="15">
      <c r="E1698" s="9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</row>
    <row r="1699" spans="5:30" ht="15">
      <c r="E1699" s="9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</row>
    <row r="1700" spans="5:30" ht="15">
      <c r="E1700" s="9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</row>
    <row r="1701" spans="5:30" ht="15">
      <c r="E1701" s="9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</row>
    <row r="1702" spans="5:30" ht="15">
      <c r="E1702" s="9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</row>
    <row r="1703" spans="5:30" ht="15">
      <c r="E1703" s="9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</row>
    <row r="1704" spans="5:30" ht="15">
      <c r="E1704" s="9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</row>
    <row r="1705" spans="5:30" ht="15">
      <c r="E1705" s="9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</row>
    <row r="1706" spans="5:30" ht="15">
      <c r="E1706" s="9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</row>
    <row r="1707" spans="5:30" ht="15">
      <c r="E1707" s="9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</row>
    <row r="1708" spans="5:30" ht="15">
      <c r="E1708" s="9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</row>
    <row r="1709" spans="5:30" ht="15">
      <c r="E1709" s="9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</row>
    <row r="1710" spans="5:30" ht="15">
      <c r="E1710" s="9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</row>
    <row r="1711" spans="5:30" ht="15">
      <c r="E1711" s="9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</row>
    <row r="1712" spans="5:30" ht="15">
      <c r="E1712" s="9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</row>
    <row r="1713" spans="5:30" ht="15">
      <c r="E1713" s="9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</row>
    <row r="1714" spans="5:30" ht="15">
      <c r="E1714" s="9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</row>
    <row r="1715" spans="5:30" ht="15">
      <c r="E1715" s="9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</row>
    <row r="1716" spans="5:30" ht="15">
      <c r="E1716" s="9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</row>
    <row r="1717" spans="5:30" ht="15">
      <c r="E1717" s="9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</row>
    <row r="1718" spans="5:30" ht="15">
      <c r="E1718" s="9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</row>
    <row r="1719" spans="5:30" ht="15">
      <c r="E1719" s="9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</row>
    <row r="1720" spans="5:30" ht="15">
      <c r="E1720" s="9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</row>
    <row r="1721" spans="5:30" ht="15">
      <c r="E1721" s="9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</row>
    <row r="1722" spans="5:30" ht="15">
      <c r="E1722" s="9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</row>
    <row r="1723" spans="5:30" ht="15">
      <c r="E1723" s="9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</row>
    <row r="1724" spans="5:30" ht="15">
      <c r="E1724" s="9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</row>
    <row r="1725" spans="5:30" ht="15">
      <c r="E1725" s="9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</row>
    <row r="1726" spans="5:30" ht="15">
      <c r="E1726" s="9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</row>
    <row r="1727" spans="5:30" ht="15">
      <c r="E1727" s="9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</row>
    <row r="1728" spans="5:30" ht="15">
      <c r="E1728" s="9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</row>
    <row r="1729" spans="5:30" ht="15">
      <c r="E1729" s="9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</row>
    <row r="1730" spans="5:30" ht="15">
      <c r="E1730" s="9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</row>
    <row r="1731" spans="5:30" ht="15">
      <c r="E1731" s="9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</row>
    <row r="1732" spans="5:30" ht="15">
      <c r="E1732" s="9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</row>
    <row r="1733" spans="5:30" ht="15">
      <c r="E1733" s="9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</row>
    <row r="1734" spans="5:30" ht="15">
      <c r="E1734" s="9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</row>
    <row r="1735" spans="5:30" ht="15">
      <c r="E1735" s="9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</row>
    <row r="1736" spans="5:30" ht="15">
      <c r="E1736" s="9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</row>
    <row r="1737" spans="5:30" ht="15">
      <c r="E1737" s="9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</row>
    <row r="1738" spans="5:30" ht="15">
      <c r="E1738" s="9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</row>
    <row r="1739" spans="5:30" ht="15">
      <c r="E1739" s="9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</row>
    <row r="1740" spans="5:30" ht="15">
      <c r="E1740" s="9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</row>
    <row r="1741" spans="5:30" ht="15">
      <c r="E1741" s="9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</row>
    <row r="1742" spans="5:30" ht="15">
      <c r="E1742" s="9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</row>
    <row r="1743" spans="5:30" ht="15">
      <c r="E1743" s="9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</row>
    <row r="1744" spans="5:30" ht="15">
      <c r="E1744" s="9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</row>
    <row r="1745" spans="5:30" ht="15">
      <c r="E1745" s="9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</row>
    <row r="1746" spans="5:30" ht="15">
      <c r="E1746" s="9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</row>
    <row r="1747" spans="5:30" ht="15">
      <c r="E1747" s="9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</row>
    <row r="1748" spans="5:30" ht="15">
      <c r="E1748" s="9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</row>
    <row r="1749" spans="5:30" ht="15">
      <c r="E1749" s="9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</row>
    <row r="1750" spans="5:30" ht="15">
      <c r="E1750" s="9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</row>
    <row r="1751" spans="5:30" ht="15">
      <c r="E1751" s="9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</row>
    <row r="1752" spans="5:30" ht="15">
      <c r="E1752" s="9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</row>
    <row r="1753" spans="5:30" ht="15">
      <c r="E1753" s="9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</row>
    <row r="1754" spans="5:30" ht="15">
      <c r="E1754" s="9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</row>
    <row r="1755" spans="5:30" ht="15">
      <c r="E1755" s="9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</row>
    <row r="1756" spans="5:30" ht="15">
      <c r="E1756" s="9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</row>
    <row r="1757" spans="5:30" ht="15">
      <c r="E1757" s="9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</row>
    <row r="1758" spans="5:30" ht="15">
      <c r="E1758" s="9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</row>
    <row r="1759" spans="5:30" ht="15">
      <c r="E1759" s="9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</row>
    <row r="1760" spans="5:30" ht="15">
      <c r="E1760" s="9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</row>
    <row r="1761" spans="5:30" ht="15">
      <c r="E1761" s="9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</row>
    <row r="1762" spans="5:30" ht="15">
      <c r="E1762" s="9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</row>
    <row r="1763" spans="5:30" ht="15">
      <c r="E1763" s="9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</row>
    <row r="1764" spans="5:30" ht="15">
      <c r="E1764" s="9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</row>
    <row r="1765" spans="5:30" ht="15">
      <c r="E1765" s="9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</row>
    <row r="1766" spans="5:30" ht="15">
      <c r="E1766" s="9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</row>
    <row r="1767" spans="5:30" ht="15">
      <c r="E1767" s="9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</row>
    <row r="1768" spans="5:30" ht="15">
      <c r="E1768" s="9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</row>
    <row r="1769" spans="5:30" ht="15">
      <c r="E1769" s="9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</row>
    <row r="1770" spans="5:30" ht="15">
      <c r="E1770" s="9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</row>
    <row r="1771" spans="5:30" ht="15">
      <c r="E1771" s="9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</row>
    <row r="1772" spans="5:30" ht="15">
      <c r="E1772" s="9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</row>
    <row r="1773" spans="5:30" ht="15">
      <c r="E1773" s="9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</row>
    <row r="1774" spans="5:30" ht="15">
      <c r="E1774" s="9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</row>
    <row r="1775" spans="5:30" ht="15">
      <c r="E1775" s="9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</row>
    <row r="1776" spans="5:30" ht="15">
      <c r="E1776" s="9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</row>
    <row r="1777" spans="5:30" ht="15">
      <c r="E1777" s="9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</row>
    <row r="1778" spans="5:30" ht="15">
      <c r="E1778" s="9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</row>
    <row r="1779" spans="5:30" ht="15">
      <c r="E1779" s="9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</row>
    <row r="1780" spans="5:30" ht="15">
      <c r="E1780" s="9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</row>
    <row r="1781" spans="5:30" ht="15">
      <c r="E1781" s="9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</row>
    <row r="1782" spans="5:30" ht="15">
      <c r="E1782" s="9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</row>
    <row r="1783" spans="5:30" ht="15">
      <c r="E1783" s="9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</row>
    <row r="1784" spans="5:30" ht="15">
      <c r="E1784" s="9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</row>
    <row r="1785" spans="5:30" ht="15">
      <c r="E1785" s="9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</row>
    <row r="1786" spans="5:30" ht="15">
      <c r="E1786" s="9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</row>
    <row r="1787" spans="5:30" ht="15">
      <c r="E1787" s="9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</row>
    <row r="1788" spans="5:30" ht="15">
      <c r="E1788" s="9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</row>
    <row r="1789" spans="5:30" ht="15">
      <c r="E1789" s="9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</row>
    <row r="1790" spans="5:30" ht="15">
      <c r="E1790" s="9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</row>
    <row r="1791" spans="5:30" ht="15">
      <c r="E1791" s="9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</row>
    <row r="1792" spans="5:30" ht="15">
      <c r="E1792" s="9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</row>
    <row r="1793" spans="5:30" ht="15">
      <c r="E1793" s="9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</row>
    <row r="1794" spans="5:30" ht="15">
      <c r="E1794" s="9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</row>
    <row r="1795" spans="5:30" ht="15">
      <c r="E1795" s="9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</row>
    <row r="1796" spans="5:30" ht="15">
      <c r="E1796" s="9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</row>
    <row r="1797" spans="5:30" ht="15">
      <c r="E1797" s="9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</row>
    <row r="1798" spans="5:30" ht="15">
      <c r="E1798" s="9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</row>
    <row r="1799" spans="5:30" ht="15">
      <c r="E1799" s="9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</row>
    <row r="1800" spans="5:30" ht="15">
      <c r="E1800" s="9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</row>
    <row r="1801" spans="5:30" ht="15">
      <c r="E1801" s="9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</row>
    <row r="1802" spans="5:30" ht="15">
      <c r="E1802" s="9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</row>
    <row r="1803" spans="5:30" ht="15">
      <c r="E1803" s="9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</row>
    <row r="1804" spans="5:30" ht="15">
      <c r="E1804" s="9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</row>
    <row r="1805" spans="5:30" ht="15">
      <c r="E1805" s="9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</row>
    <row r="1806" spans="5:30" ht="15">
      <c r="E1806" s="9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</row>
    <row r="1807" spans="5:30" ht="15">
      <c r="E1807" s="9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</row>
    <row r="1808" spans="5:30" ht="15">
      <c r="E1808" s="9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</row>
    <row r="1809" spans="5:30" ht="15">
      <c r="E1809" s="9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</row>
    <row r="1810" spans="5:30" ht="15">
      <c r="E1810" s="9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</row>
    <row r="1811" spans="5:30" ht="15">
      <c r="E1811" s="9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</row>
    <row r="1812" spans="5:30" ht="15">
      <c r="E1812" s="9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</row>
    <row r="1813" spans="5:30" ht="15">
      <c r="E1813" s="9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</row>
    <row r="1814" spans="5:30" ht="15">
      <c r="E1814" s="9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</row>
    <row r="1815" spans="5:30" ht="15">
      <c r="E1815" s="9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</row>
    <row r="1816" spans="5:30" ht="15">
      <c r="E1816" s="9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</row>
    <row r="1817" spans="5:30" ht="15">
      <c r="E1817" s="9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</row>
    <row r="1818" spans="5:30" ht="15">
      <c r="E1818" s="9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</row>
    <row r="1819" spans="5:30" ht="15">
      <c r="E1819" s="9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</row>
    <row r="1820" spans="5:30" ht="15">
      <c r="E1820" s="9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</row>
    <row r="1821" spans="5:30" ht="15">
      <c r="E1821" s="9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</row>
    <row r="1822" spans="5:30" ht="15">
      <c r="E1822" s="9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</row>
    <row r="1823" spans="5:30" ht="15">
      <c r="E1823" s="9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</row>
    <row r="1824" spans="5:30" ht="15">
      <c r="E1824" s="9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</row>
    <row r="1825" spans="5:30" ht="15">
      <c r="E1825" s="9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</row>
    <row r="1826" spans="5:30" ht="15">
      <c r="E1826" s="9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</row>
    <row r="1827" spans="5:30" ht="15">
      <c r="E1827" s="9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</row>
    <row r="1828" spans="5:30" ht="15">
      <c r="E1828" s="9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</row>
    <row r="1829" spans="5:30" ht="15">
      <c r="E1829" s="9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</row>
    <row r="1830" spans="5:30" ht="15">
      <c r="E1830" s="9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</row>
    <row r="1831" spans="5:30" ht="15">
      <c r="E1831" s="9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</row>
    <row r="1832" spans="5:30" ht="15">
      <c r="E1832" s="9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</row>
    <row r="1833" spans="5:30" ht="15">
      <c r="E1833" s="9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</row>
    <row r="1834" spans="5:30" ht="15">
      <c r="E1834" s="9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</row>
    <row r="1835" spans="5:30" ht="15">
      <c r="E1835" s="9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</row>
    <row r="1836" spans="5:30" ht="15">
      <c r="E1836" s="9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</row>
    <row r="1837" spans="5:30" ht="15">
      <c r="E1837" s="9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</row>
    <row r="1838" spans="5:30" ht="15">
      <c r="E1838" s="9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</row>
    <row r="1839" spans="5:30" ht="15">
      <c r="E1839" s="9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</row>
    <row r="1840" spans="5:30" ht="15">
      <c r="E1840" s="9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</row>
    <row r="1841" spans="5:30" ht="15">
      <c r="E1841" s="9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</row>
    <row r="1842" spans="5:30" ht="15">
      <c r="E1842" s="9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</row>
    <row r="1843" spans="5:30" ht="15">
      <c r="E1843" s="9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</row>
    <row r="1844" spans="5:30" ht="15">
      <c r="E1844" s="9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</row>
    <row r="1845" spans="5:30" ht="15">
      <c r="E1845" s="9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</row>
    <row r="1846" spans="5:30" ht="15">
      <c r="E1846" s="9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</row>
    <row r="1847" spans="5:30" ht="15">
      <c r="E1847" s="9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</row>
    <row r="1848" spans="5:30" ht="15">
      <c r="E1848" s="9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</row>
    <row r="1849" spans="5:30" ht="15">
      <c r="E1849" s="9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</row>
    <row r="1850" spans="5:30" ht="15">
      <c r="E1850" s="9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</row>
    <row r="1851" spans="5:30" ht="15">
      <c r="E1851" s="9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</row>
    <row r="1852" spans="5:30" ht="15">
      <c r="E1852" s="9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</row>
    <row r="1853" spans="5:30" ht="15">
      <c r="E1853" s="9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</row>
    <row r="1854" spans="5:30" ht="15">
      <c r="E1854" s="9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</row>
    <row r="1855" spans="5:30" ht="15">
      <c r="E1855" s="9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</row>
    <row r="1856" spans="5:30" ht="15">
      <c r="E1856" s="9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</row>
    <row r="1857" spans="5:30" ht="15">
      <c r="E1857" s="9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</row>
    <row r="1858" spans="5:30" ht="15">
      <c r="E1858" s="9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</row>
    <row r="1859" spans="5:30" ht="15">
      <c r="E1859" s="9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</row>
    <row r="1860" spans="5:30" ht="15">
      <c r="E1860" s="9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</row>
    <row r="1861" spans="5:30" ht="15">
      <c r="E1861" s="9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</row>
    <row r="1862" spans="5:30" ht="15">
      <c r="E1862" s="9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</row>
    <row r="1863" spans="5:30" ht="15">
      <c r="E1863" s="9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</row>
    <row r="1864" spans="5:30" ht="15">
      <c r="E1864" s="9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</row>
    <row r="1865" spans="5:30" ht="15">
      <c r="E1865" s="9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</row>
    <row r="1866" spans="5:30" ht="15">
      <c r="E1866" s="9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</row>
    <row r="1867" spans="5:30" ht="15">
      <c r="E1867" s="9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</row>
    <row r="1868" spans="5:30" ht="15">
      <c r="E1868" s="9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</row>
    <row r="1869" spans="5:30" ht="15">
      <c r="E1869" s="9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</row>
    <row r="1870" spans="5:30" ht="15">
      <c r="E1870" s="9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</row>
    <row r="1871" spans="5:30" ht="15">
      <c r="E1871" s="9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</row>
    <row r="1872" spans="5:30" ht="15">
      <c r="E1872" s="9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</row>
    <row r="1873" spans="5:30" ht="15">
      <c r="E1873" s="9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</row>
    <row r="1874" spans="5:30" ht="15">
      <c r="E1874" s="9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</row>
    <row r="1875" spans="5:30" ht="15">
      <c r="E1875" s="9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</row>
    <row r="1876" spans="5:30" ht="15">
      <c r="E1876" s="9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</row>
    <row r="1877" spans="5:30" ht="15">
      <c r="E1877" s="9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</row>
    <row r="1878" spans="5:30" ht="15">
      <c r="E1878" s="9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</row>
    <row r="1879" spans="5:30" ht="15">
      <c r="E1879" s="9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</row>
    <row r="1880" spans="5:30" ht="15">
      <c r="E1880" s="9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</row>
    <row r="1881" spans="5:30" ht="15">
      <c r="E1881" s="9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</row>
    <row r="1882" spans="5:30" ht="15">
      <c r="E1882" s="9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</row>
    <row r="1883" spans="5:30" ht="15">
      <c r="E1883" s="9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</row>
    <row r="1884" spans="5:30" ht="15">
      <c r="E1884" s="9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</row>
    <row r="1885" spans="5:30" ht="15">
      <c r="E1885" s="9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</row>
    <row r="1886" spans="5:30" ht="15">
      <c r="E1886" s="9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</row>
    <row r="1887" spans="5:30" ht="15">
      <c r="E1887" s="9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</row>
    <row r="1888" spans="5:30" ht="15">
      <c r="E1888" s="9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</row>
    <row r="1889" spans="5:30" ht="15">
      <c r="E1889" s="9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</row>
    <row r="1890" spans="5:30" ht="15">
      <c r="E1890" s="9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</row>
    <row r="1891" spans="5:30" ht="15">
      <c r="E1891" s="9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</row>
    <row r="1892" spans="5:30" ht="15">
      <c r="E1892" s="9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</row>
    <row r="1893" spans="5:30" ht="15">
      <c r="E1893" s="9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</row>
    <row r="1894" spans="5:30" ht="15">
      <c r="E1894" s="9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</row>
    <row r="1895" spans="5:30" ht="15">
      <c r="E1895" s="9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</row>
    <row r="1896" spans="5:30" ht="15">
      <c r="E1896" s="9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</row>
    <row r="1897" spans="5:30" ht="15">
      <c r="E1897" s="9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</row>
    <row r="1898" spans="5:30" ht="15">
      <c r="E1898" s="9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</row>
    <row r="1899" spans="5:30" ht="15">
      <c r="E1899" s="9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</row>
    <row r="1900" spans="5:30" ht="15">
      <c r="E1900" s="9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</row>
    <row r="1901" spans="5:30" ht="15">
      <c r="E1901" s="9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</row>
    <row r="1902" spans="5:30" ht="15">
      <c r="E1902" s="9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</row>
    <row r="1903" spans="5:30" ht="15">
      <c r="E1903" s="9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</row>
    <row r="1904" spans="5:30" ht="15">
      <c r="E1904" s="9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</row>
    <row r="1905" spans="5:30" ht="15">
      <c r="E1905" s="9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</row>
    <row r="1906" spans="5:30" ht="15">
      <c r="E1906" s="9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</row>
    <row r="1907" spans="5:30" ht="15">
      <c r="E1907" s="9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</row>
    <row r="1908" spans="5:30" ht="15">
      <c r="E1908" s="9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</row>
    <row r="1909" spans="5:30" ht="15">
      <c r="E1909" s="9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</row>
    <row r="1910" spans="5:30" ht="15">
      <c r="E1910" s="9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</row>
    <row r="1911" spans="5:30" ht="15">
      <c r="E1911" s="9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</row>
    <row r="1912" spans="5:30" ht="15">
      <c r="E1912" s="9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</row>
    <row r="1913" spans="5:30" ht="15">
      <c r="E1913" s="9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</row>
    <row r="1914" spans="5:30" ht="15">
      <c r="E1914" s="9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</row>
    <row r="1915" spans="5:30" ht="15">
      <c r="E1915" s="9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</row>
    <row r="1916" spans="5:30" ht="15">
      <c r="E1916" s="9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</row>
    <row r="1917" spans="5:30" ht="15">
      <c r="E1917" s="9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</row>
    <row r="1918" spans="5:30" ht="15">
      <c r="E1918" s="9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</row>
    <row r="1919" spans="5:30" ht="15">
      <c r="E1919" s="9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</row>
    <row r="1920" spans="5:30" ht="15">
      <c r="E1920" s="9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</row>
    <row r="1921" spans="5:30" ht="15">
      <c r="E1921" s="9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</row>
    <row r="1922" spans="5:30" ht="15">
      <c r="E1922" s="9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</row>
    <row r="1923" spans="5:30" ht="15">
      <c r="E1923" s="9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</row>
    <row r="1924" spans="5:30" ht="15">
      <c r="E1924" s="9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</row>
    <row r="1925" spans="5:30" ht="15">
      <c r="E1925" s="9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</row>
    <row r="1926" spans="5:30" ht="15">
      <c r="E1926" s="9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</row>
    <row r="1927" spans="5:30" ht="15">
      <c r="E1927" s="9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</row>
    <row r="1928" spans="5:30" ht="15">
      <c r="E1928" s="9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</row>
    <row r="1929" spans="5:30" ht="15">
      <c r="E1929" s="9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</row>
    <row r="1930" spans="5:30" ht="15">
      <c r="E1930" s="9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</row>
    <row r="1931" spans="5:30" ht="15">
      <c r="E1931" s="9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</row>
    <row r="1932" spans="5:30" ht="15">
      <c r="E1932" s="9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</row>
    <row r="1933" spans="5:30" ht="15">
      <c r="E1933" s="9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</row>
    <row r="1934" spans="5:30" ht="15">
      <c r="E1934" s="9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</row>
    <row r="1935" spans="5:30" ht="15">
      <c r="E1935" s="9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</row>
    <row r="1936" spans="5:30" ht="15">
      <c r="E1936" s="9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</row>
    <row r="1937" spans="5:30" ht="15">
      <c r="E1937" s="9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</row>
    <row r="1938" spans="5:30" ht="15">
      <c r="E1938" s="9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</row>
    <row r="1939" spans="5:30" ht="15">
      <c r="E1939" s="9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</row>
    <row r="1940" spans="5:30" ht="15">
      <c r="E1940" s="9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</row>
    <row r="1941" spans="5:30" ht="15">
      <c r="E1941" s="9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</row>
    <row r="1942" spans="5:30" ht="15">
      <c r="E1942" s="9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</row>
    <row r="1943" spans="5:30" ht="15">
      <c r="E1943" s="9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</row>
    <row r="1944" spans="5:30" ht="15">
      <c r="E1944" s="9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</row>
    <row r="1945" spans="5:30" ht="15">
      <c r="E1945" s="9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</row>
    <row r="1946" spans="5:30" ht="15">
      <c r="E1946" s="9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</row>
    <row r="1947" spans="5:30" ht="15">
      <c r="E1947" s="9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</row>
    <row r="1948" spans="5:30" ht="15">
      <c r="E1948" s="9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</row>
    <row r="1949" spans="5:30" ht="15">
      <c r="E1949" s="9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</row>
    <row r="1950" spans="5:30" ht="15">
      <c r="E1950" s="9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</row>
    <row r="1951" spans="5:30" ht="15">
      <c r="E1951" s="9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</row>
    <row r="1952" spans="5:30" ht="15">
      <c r="E1952" s="9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</row>
    <row r="1953" spans="5:30" ht="15">
      <c r="E1953" s="9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</row>
    <row r="1954" spans="5:30" ht="15">
      <c r="E1954" s="9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</row>
    <row r="1955" spans="5:30" ht="15">
      <c r="E1955" s="9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</row>
    <row r="1956" spans="5:30" ht="15">
      <c r="E1956" s="9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</row>
    <row r="1957" spans="5:30" ht="15">
      <c r="E1957" s="9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</row>
    <row r="1958" spans="5:30" ht="15">
      <c r="E1958" s="9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</row>
    <row r="1959" spans="5:30" ht="15">
      <c r="E1959" s="9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</row>
    <row r="1960" spans="5:30" ht="15">
      <c r="E1960" s="9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</row>
    <row r="1961" spans="5:30" ht="15">
      <c r="E1961" s="9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</row>
    <row r="1962" spans="5:30" ht="15">
      <c r="E1962" s="9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</row>
    <row r="1963" spans="5:30" ht="15">
      <c r="E1963" s="9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</row>
    <row r="1964" spans="5:30" ht="15">
      <c r="E1964" s="9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</row>
    <row r="1965" spans="5:30" ht="15">
      <c r="E1965" s="9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</row>
    <row r="1966" spans="5:30" ht="15">
      <c r="E1966" s="9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</row>
    <row r="1967" spans="5:30" ht="15">
      <c r="E1967" s="9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</row>
    <row r="1968" spans="5:30" ht="15">
      <c r="E1968" s="9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</row>
    <row r="1969" spans="5:30" ht="15">
      <c r="E1969" s="9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</row>
    <row r="1970" spans="5:30" ht="15">
      <c r="E1970" s="9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</row>
    <row r="1971" spans="5:30" ht="15">
      <c r="E1971" s="9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</row>
    <row r="1972" spans="5:30" ht="15">
      <c r="E1972" s="9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</row>
    <row r="1973" spans="5:30" ht="15">
      <c r="E1973" s="9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</row>
    <row r="1974" spans="5:30" ht="15">
      <c r="E1974" s="9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</row>
    <row r="1975" spans="5:30" ht="15">
      <c r="E1975" s="9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</row>
    <row r="1976" spans="5:30" ht="15">
      <c r="E1976" s="9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</row>
    <row r="1977" spans="5:30" ht="15">
      <c r="E1977" s="9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</row>
    <row r="1978" spans="5:30" ht="15">
      <c r="E1978" s="9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</row>
    <row r="1979" spans="5:30" ht="15">
      <c r="E1979" s="9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</row>
    <row r="1980" spans="5:30" ht="15">
      <c r="E1980" s="9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</row>
    <row r="1981" spans="5:30" ht="15">
      <c r="E1981" s="9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</row>
    <row r="1982" spans="5:30" ht="15">
      <c r="E1982" s="9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</row>
    <row r="1983" spans="5:30" ht="15">
      <c r="E1983" s="9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</row>
    <row r="1984" spans="5:30" ht="15">
      <c r="E1984" s="9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</row>
    <row r="1985" spans="5:30" ht="15">
      <c r="E1985" s="9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</row>
    <row r="1986" spans="5:30" ht="15">
      <c r="E1986" s="9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</row>
    <row r="1987" spans="5:30" ht="15">
      <c r="E1987" s="9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</row>
    <row r="1988" spans="5:30" ht="15">
      <c r="E1988" s="9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</row>
    <row r="1989" spans="5:30" ht="15">
      <c r="E1989" s="9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</row>
    <row r="1990" spans="5:30" ht="15">
      <c r="E1990" s="9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</row>
    <row r="1991" spans="5:30" ht="15">
      <c r="E1991" s="9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</row>
    <row r="1992" spans="5:30" ht="15">
      <c r="E1992" s="9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</row>
    <row r="1993" spans="5:30" ht="15">
      <c r="E1993" s="9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</row>
    <row r="1994" spans="5:30" ht="15">
      <c r="E1994" s="9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</row>
    <row r="1995" spans="5:30" ht="15">
      <c r="E1995" s="9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</row>
    <row r="1996" spans="5:30" ht="15">
      <c r="E1996" s="9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</row>
    <row r="1997" spans="5:30" ht="15">
      <c r="E1997" s="9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</row>
    <row r="1998" spans="5:30" ht="15">
      <c r="E1998" s="9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</row>
    <row r="1999" spans="5:30" ht="15">
      <c r="E1999" s="9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</row>
    <row r="2000" spans="5:30" ht="15">
      <c r="E2000" s="9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</row>
    <row r="2001" spans="5:30" ht="15">
      <c r="E2001" s="9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</row>
    <row r="2002" spans="5:30" ht="15">
      <c r="E2002" s="9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</row>
    <row r="2003" spans="5:30" ht="15">
      <c r="E2003" s="9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</row>
    <row r="2004" spans="5:30" ht="15">
      <c r="E2004" s="9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</row>
    <row r="2005" spans="5:30" ht="15">
      <c r="E2005" s="9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</row>
    <row r="2006" spans="5:30" ht="15">
      <c r="E2006" s="9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</row>
    <row r="2007" spans="5:30" ht="15">
      <c r="E2007" s="9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</row>
    <row r="2008" spans="5:30" ht="15">
      <c r="E2008" s="9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</row>
    <row r="2009" spans="5:30" ht="15">
      <c r="E2009" s="9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</row>
    <row r="2010" spans="5:30" ht="15">
      <c r="E2010" s="9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</row>
    <row r="2011" spans="5:30" ht="15">
      <c r="E2011" s="9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</row>
    <row r="2012" spans="5:30" ht="15">
      <c r="E2012" s="9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</row>
    <row r="2013" spans="5:30" ht="15">
      <c r="E2013" s="9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</row>
    <row r="2014" spans="5:30" ht="15">
      <c r="E2014" s="9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</row>
    <row r="2015" spans="5:30" ht="15">
      <c r="E2015" s="9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</row>
    <row r="2016" spans="5:30" ht="15">
      <c r="E2016" s="9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</row>
    <row r="2017" spans="5:30" ht="15">
      <c r="E2017" s="9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</row>
    <row r="2018" spans="5:30" ht="15">
      <c r="E2018" s="9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</row>
    <row r="2019" spans="5:30" ht="15">
      <c r="E2019" s="9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</row>
    <row r="2020" spans="5:30" ht="15">
      <c r="E2020" s="9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</row>
    <row r="2021" spans="5:30" ht="15">
      <c r="E2021" s="9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</row>
    <row r="2022" spans="5:30" ht="15">
      <c r="E2022" s="9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</row>
    <row r="2023" spans="5:30" ht="15">
      <c r="E2023" s="9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</row>
    <row r="2024" spans="5:30" ht="15">
      <c r="E2024" s="9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</row>
    <row r="2025" spans="5:30" ht="15">
      <c r="E2025" s="9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</row>
    <row r="2026" spans="5:30" ht="15">
      <c r="E2026" s="9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</row>
    <row r="2027" spans="5:30" ht="15">
      <c r="E2027" s="9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</row>
    <row r="2028" spans="5:30" ht="15">
      <c r="E2028" s="9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</row>
    <row r="2029" spans="5:30" ht="15">
      <c r="E2029" s="9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</row>
    <row r="2030" spans="5:30" ht="15">
      <c r="E2030" s="9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</row>
    <row r="2031" spans="5:30" ht="15">
      <c r="E2031" s="9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</row>
    <row r="2032" spans="5:30" ht="15">
      <c r="E2032" s="9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</row>
    <row r="2033" spans="5:30" ht="15">
      <c r="E2033" s="9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</row>
    <row r="2034" spans="5:30" ht="15">
      <c r="E2034" s="9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</row>
    <row r="2035" spans="5:30" ht="15">
      <c r="E2035" s="9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</row>
    <row r="2036" spans="5:30" ht="15">
      <c r="E2036" s="9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</row>
    <row r="2037" spans="5:30" ht="15">
      <c r="E2037" s="9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</row>
    <row r="2038" spans="5:30" ht="15">
      <c r="E2038" s="9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</row>
    <row r="2039" spans="5:30" ht="15">
      <c r="E2039" s="9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</row>
    <row r="2040" spans="5:30" ht="15">
      <c r="E2040" s="9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</row>
    <row r="2041" spans="5:30" ht="15">
      <c r="E2041" s="9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</row>
    <row r="2042" spans="5:30" ht="15">
      <c r="E2042" s="9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</row>
    <row r="2043" spans="5:30" ht="15">
      <c r="E2043" s="9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</row>
    <row r="2044" spans="5:30" ht="15">
      <c r="E2044" s="9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</row>
    <row r="2045" spans="5:30" ht="15">
      <c r="E2045" s="9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</row>
    <row r="2046" spans="5:30" ht="15">
      <c r="E2046" s="9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</row>
    <row r="2047" spans="5:30" ht="15">
      <c r="E2047" s="9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</row>
    <row r="2048" spans="5:30" ht="15">
      <c r="E2048" s="9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</row>
    <row r="2049" spans="5:30" ht="15">
      <c r="E2049" s="9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</row>
    <row r="2050" spans="5:30" ht="15">
      <c r="E2050" s="9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</row>
    <row r="2051" spans="5:30" ht="15">
      <c r="E2051" s="9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</row>
    <row r="2052" spans="5:30" ht="15">
      <c r="E2052" s="9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</row>
    <row r="2053" spans="5:30" ht="15">
      <c r="E2053" s="9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</row>
    <row r="2054" spans="5:30" ht="15">
      <c r="E2054" s="9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</row>
    <row r="2055" spans="5:30" ht="15">
      <c r="E2055" s="9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</row>
    <row r="2056" spans="5:30" ht="15">
      <c r="E2056" s="9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</row>
    <row r="2057" spans="5:30" ht="15">
      <c r="E2057" s="9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</row>
    <row r="2058" spans="5:30" ht="15">
      <c r="E2058" s="9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</row>
    <row r="2059" spans="5:30" ht="15">
      <c r="E2059" s="9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</row>
    <row r="2060" spans="5:30" ht="15">
      <c r="E2060" s="9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</row>
    <row r="2061" spans="5:30" ht="15">
      <c r="E2061" s="9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</row>
    <row r="2062" spans="5:30" ht="15">
      <c r="E2062" s="9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</row>
    <row r="2063" spans="5:30" ht="15">
      <c r="E2063" s="9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</row>
    <row r="2064" spans="5:30" ht="15">
      <c r="E2064" s="9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</row>
    <row r="2065" spans="5:30" ht="15">
      <c r="E2065" s="9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</row>
    <row r="2066" spans="5:30" ht="15">
      <c r="E2066" s="9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</row>
    <row r="2067" spans="5:30" ht="15">
      <c r="E2067" s="9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</row>
    <row r="2068" spans="5:30" ht="15">
      <c r="E2068" s="9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</row>
    <row r="2069" spans="5:30" ht="15">
      <c r="E2069" s="9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</row>
    <row r="2070" spans="5:30" ht="15">
      <c r="E2070" s="9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</row>
    <row r="2071" spans="5:30" ht="15">
      <c r="E2071" s="9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</row>
    <row r="2072" spans="5:30" ht="15">
      <c r="E2072" s="9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</row>
    <row r="2073" spans="5:30" ht="15">
      <c r="E2073" s="9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</row>
    <row r="2074" spans="5:30" ht="15">
      <c r="E2074" s="9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</row>
    <row r="2075" spans="5:30" ht="15">
      <c r="E2075" s="9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</row>
    <row r="2076" spans="5:30" ht="15">
      <c r="E2076" s="9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</row>
    <row r="2077" spans="5:30" ht="15">
      <c r="E2077" s="9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</row>
    <row r="2078" spans="5:30" ht="15">
      <c r="E2078" s="9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</row>
    <row r="2079" spans="5:30" ht="15">
      <c r="E2079" s="9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</row>
    <row r="2080" spans="5:30" ht="15">
      <c r="E2080" s="9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</row>
    <row r="2081" spans="5:30" ht="15">
      <c r="E2081" s="9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</row>
    <row r="2082" spans="5:30" ht="15">
      <c r="E2082" s="9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</row>
    <row r="2083" spans="5:30" ht="15">
      <c r="E2083" s="9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</row>
    <row r="2084" spans="5:30" ht="15">
      <c r="E2084" s="9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</row>
    <row r="2085" spans="5:30" ht="15">
      <c r="E2085" s="9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</row>
    <row r="2086" spans="5:30" ht="15">
      <c r="E2086" s="9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</row>
    <row r="2087" spans="5:30" ht="15">
      <c r="E2087" s="9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</row>
    <row r="2088" spans="5:30" ht="15">
      <c r="E2088" s="9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</row>
    <row r="2089" spans="5:30" ht="15">
      <c r="E2089" s="9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</row>
    <row r="2090" spans="5:30" ht="15">
      <c r="E2090" s="9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</row>
    <row r="2091" spans="5:30" ht="15">
      <c r="E2091" s="9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</row>
    <row r="2092" spans="5:30" ht="15">
      <c r="E2092" s="9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</row>
    <row r="2093" spans="5:30" ht="15">
      <c r="E2093" s="9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</row>
    <row r="2094" spans="5:30" ht="15">
      <c r="E2094" s="9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</row>
    <row r="2095" spans="5:30" ht="15">
      <c r="E2095" s="9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</row>
    <row r="2096" spans="5:30" ht="15">
      <c r="E2096" s="9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</row>
    <row r="2097" spans="5:30" ht="15">
      <c r="E2097" s="9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</row>
    <row r="2098" spans="5:30" ht="15">
      <c r="E2098" s="9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</row>
    <row r="2099" spans="5:30" ht="15">
      <c r="E2099" s="9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</row>
    <row r="2100" spans="5:30" ht="15">
      <c r="E2100" s="9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</row>
    <row r="2101" spans="5:30" ht="15">
      <c r="E2101" s="9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</row>
    <row r="2102" spans="5:30" ht="15">
      <c r="E2102" s="9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</row>
    <row r="2103" spans="5:30" ht="15">
      <c r="E2103" s="9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</row>
    <row r="2104" spans="5:30" ht="15">
      <c r="E2104" s="9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</row>
    <row r="2105" spans="5:30" ht="15">
      <c r="E2105" s="9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</row>
    <row r="2106" spans="5:30" ht="15">
      <c r="E2106" s="9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</row>
    <row r="2107" spans="5:30" ht="15">
      <c r="E2107" s="9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</row>
    <row r="2108" spans="5:30" ht="15">
      <c r="E2108" s="9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</row>
    <row r="2109" spans="5:30" ht="15">
      <c r="E2109" s="9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</row>
    <row r="2110" spans="5:30" ht="15">
      <c r="E2110" s="9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</row>
    <row r="2111" spans="5:30" ht="15">
      <c r="E2111" s="9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</row>
    <row r="2112" spans="5:30" ht="15">
      <c r="E2112" s="9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</row>
    <row r="2113" spans="5:30" ht="15">
      <c r="E2113" s="9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</row>
    <row r="2114" spans="5:30" ht="15">
      <c r="E2114" s="9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</row>
    <row r="2115" spans="5:30" ht="15">
      <c r="E2115" s="9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</row>
    <row r="2116" spans="5:30" ht="15">
      <c r="E2116" s="9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</row>
    <row r="2117" spans="5:30" ht="15">
      <c r="E2117" s="9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</row>
    <row r="2118" spans="5:30" ht="15">
      <c r="E2118" s="9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</row>
    <row r="2119" spans="5:30" ht="15">
      <c r="E2119" s="9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</row>
    <row r="2120" spans="5:30" ht="15">
      <c r="E2120" s="9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</row>
    <row r="2121" spans="5:30" ht="15">
      <c r="E2121" s="9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</row>
    <row r="2122" spans="5:30" ht="15">
      <c r="E2122" s="9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</row>
    <row r="2123" spans="5:30" ht="15">
      <c r="E2123" s="9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</row>
    <row r="2124" spans="5:30" ht="15">
      <c r="E2124" s="9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</row>
    <row r="2125" spans="5:30" ht="15">
      <c r="E2125" s="9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</row>
    <row r="2126" spans="5:30" ht="15">
      <c r="E2126" s="9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</row>
    <row r="2127" spans="5:30" ht="15">
      <c r="E2127" s="9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</row>
    <row r="2128" spans="5:30" ht="15">
      <c r="E2128" s="9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</row>
    <row r="2129" spans="5:30" ht="15">
      <c r="E2129" s="9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</row>
    <row r="2130" spans="5:30" ht="15">
      <c r="E2130" s="9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</row>
    <row r="2131" spans="5:30" ht="15">
      <c r="E2131" s="9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</row>
    <row r="2132" spans="5:30" ht="15">
      <c r="E2132" s="9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</row>
    <row r="2133" spans="5:30" ht="15">
      <c r="E2133" s="9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</row>
    <row r="2134" spans="5:30" ht="15">
      <c r="E2134" s="9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</row>
    <row r="2135" spans="5:30" ht="15">
      <c r="E2135" s="9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</row>
    <row r="2136" spans="5:30" ht="15">
      <c r="E2136" s="9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</row>
    <row r="2137" spans="5:30" ht="15">
      <c r="E2137" s="9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</row>
    <row r="2138" spans="5:30" ht="15">
      <c r="E2138" s="9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</row>
    <row r="2139" spans="5:30" ht="15">
      <c r="E2139" s="9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</row>
    <row r="2140" spans="5:30" ht="15">
      <c r="E2140" s="9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</row>
    <row r="2141" spans="5:30" ht="15">
      <c r="E2141" s="9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</row>
    <row r="2142" spans="5:30" ht="15">
      <c r="E2142" s="9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</row>
    <row r="2143" spans="5:30" ht="15">
      <c r="E2143" s="9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</row>
    <row r="2144" spans="5:30" ht="15">
      <c r="E2144" s="9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</row>
    <row r="2145" spans="5:30" ht="15">
      <c r="E2145" s="9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</row>
    <row r="2146" spans="5:30" ht="15">
      <c r="E2146" s="9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</row>
    <row r="2147" spans="5:30" ht="15">
      <c r="E2147" s="9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</row>
    <row r="2148" spans="5:30" ht="15">
      <c r="E2148" s="9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</row>
    <row r="2149" spans="5:30" ht="15">
      <c r="E2149" s="9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</row>
    <row r="2150" spans="5:30" ht="15">
      <c r="E2150" s="9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</row>
    <row r="2151" spans="5:30" ht="15">
      <c r="E2151" s="9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</row>
    <row r="2152" spans="5:30" ht="15">
      <c r="E2152" s="9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</row>
    <row r="2153" spans="5:30" ht="15">
      <c r="E2153" s="9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</row>
    <row r="2154" spans="5:30" ht="15">
      <c r="E2154" s="9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</row>
    <row r="2155" spans="5:30" ht="15">
      <c r="E2155" s="9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</row>
    <row r="2156" spans="5:30" ht="15">
      <c r="E2156" s="9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</row>
    <row r="2157" spans="5:30" ht="15">
      <c r="E2157" s="9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</row>
    <row r="2158" spans="5:30" ht="15">
      <c r="E2158" s="9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</row>
    <row r="2159" spans="5:30" ht="15">
      <c r="E2159" s="9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</row>
    <row r="2160" spans="5:30" ht="15">
      <c r="E2160" s="9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</row>
    <row r="2161" spans="5:30" ht="15">
      <c r="E2161" s="9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</row>
    <row r="2162" spans="5:30" ht="15">
      <c r="E2162" s="9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</row>
    <row r="2163" spans="5:30" ht="15">
      <c r="E2163" s="9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</row>
    <row r="2164" spans="5:30" ht="15">
      <c r="E2164" s="9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</row>
    <row r="2165" spans="5:30" ht="15">
      <c r="E2165" s="9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</row>
    <row r="2166" spans="5:30" ht="15">
      <c r="E2166" s="9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</row>
    <row r="2167" spans="5:30" ht="15">
      <c r="E2167" s="9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</row>
    <row r="2168" spans="5:30" ht="15">
      <c r="E2168" s="9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</row>
    <row r="2169" spans="5:30" ht="15">
      <c r="E2169" s="9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</row>
    <row r="2170" spans="5:30" ht="15">
      <c r="E2170" s="9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</row>
    <row r="2171" spans="5:30" ht="15">
      <c r="E2171" s="9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</row>
    <row r="2172" spans="5:30" ht="15">
      <c r="E2172" s="9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</row>
    <row r="2173" spans="5:30" ht="15">
      <c r="E2173" s="9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</row>
    <row r="2174" spans="5:30" ht="15">
      <c r="E2174" s="9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</row>
    <row r="2175" spans="5:30" ht="15">
      <c r="E2175" s="9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</row>
    <row r="2176" spans="5:30" ht="15">
      <c r="E2176" s="9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</row>
    <row r="2177" spans="5:30" ht="15">
      <c r="E2177" s="9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</row>
    <row r="2178" spans="5:30" ht="15">
      <c r="E2178" s="9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</row>
    <row r="2179" spans="5:30" ht="15">
      <c r="E2179" s="9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</row>
    <row r="2180" spans="5:30" ht="15">
      <c r="E2180" s="9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</row>
    <row r="2181" spans="5:30" ht="15">
      <c r="E2181" s="9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</row>
    <row r="2182" spans="5:30" ht="15">
      <c r="E2182" s="9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</row>
    <row r="2183" spans="5:30" ht="15">
      <c r="E2183" s="9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</row>
    <row r="2184" spans="5:30" ht="15">
      <c r="E2184" s="9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</row>
    <row r="2185" spans="5:30" ht="15">
      <c r="E2185" s="9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</row>
    <row r="2186" spans="5:30" ht="15">
      <c r="E2186" s="9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</row>
    <row r="2187" spans="5:30" ht="15">
      <c r="E2187" s="9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</row>
    <row r="2188" spans="5:30" ht="15">
      <c r="E2188" s="9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</row>
    <row r="2189" spans="5:30" ht="15">
      <c r="E2189" s="9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</row>
    <row r="2190" spans="5:30" ht="15">
      <c r="E2190" s="9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</row>
    <row r="2191" spans="5:30" ht="15">
      <c r="E2191" s="9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</row>
    <row r="2192" spans="5:30" ht="15">
      <c r="E2192" s="9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</row>
    <row r="2193" spans="5:30" ht="15">
      <c r="E2193" s="9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</row>
    <row r="2194" spans="5:30" ht="15">
      <c r="E2194" s="9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</row>
    <row r="2195" spans="5:30" ht="15">
      <c r="E2195" s="9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</row>
    <row r="2196" spans="5:30" ht="15">
      <c r="E2196" s="9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</row>
    <row r="2197" spans="5:30" ht="15">
      <c r="E2197" s="9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</row>
    <row r="2198" spans="5:30" ht="15">
      <c r="E2198" s="9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</row>
    <row r="2199" spans="5:30" ht="15">
      <c r="E2199" s="9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</row>
    <row r="2200" spans="5:30" ht="15">
      <c r="E2200" s="9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</row>
    <row r="2201" spans="5:30" ht="15">
      <c r="E2201" s="9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</row>
    <row r="2202" spans="5:30" ht="15">
      <c r="E2202" s="9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</row>
    <row r="2203" spans="5:30" ht="15">
      <c r="E2203" s="9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</row>
    <row r="2204" spans="5:30" ht="15">
      <c r="E2204" s="9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</row>
    <row r="2205" spans="5:30" ht="15">
      <c r="E2205" s="9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</row>
    <row r="2206" spans="5:30" ht="15">
      <c r="E2206" s="9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</row>
    <row r="2207" spans="5:30" ht="15">
      <c r="E2207" s="9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</row>
    <row r="2208" spans="5:30" ht="15">
      <c r="E2208" s="9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</row>
    <row r="2209" spans="5:30" ht="15">
      <c r="E2209" s="9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</row>
    <row r="2210" spans="5:30" ht="15">
      <c r="E2210" s="9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</row>
    <row r="2211" spans="5:30" ht="15">
      <c r="E2211" s="9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</row>
    <row r="2212" spans="5:30" ht="15">
      <c r="E2212" s="9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</row>
    <row r="2213" spans="5:30" ht="15">
      <c r="E2213" s="9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</row>
    <row r="2214" spans="5:30" ht="15">
      <c r="E2214" s="9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</row>
    <row r="2215" spans="5:30" ht="15">
      <c r="E2215" s="9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</row>
    <row r="2216" spans="5:30" ht="15">
      <c r="E2216" s="9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</row>
    <row r="2217" spans="5:30" ht="15">
      <c r="E2217" s="9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</row>
    <row r="2218" spans="5:30" ht="15">
      <c r="E2218" s="9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</row>
    <row r="2219" spans="5:30" ht="15">
      <c r="E2219" s="9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</row>
    <row r="2220" spans="5:30" ht="15">
      <c r="E2220" s="9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</row>
    <row r="2221" spans="5:30" ht="15">
      <c r="E2221" s="9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</row>
    <row r="2222" spans="5:30" ht="15">
      <c r="E2222" s="9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</row>
    <row r="2223" spans="5:30" ht="15">
      <c r="E2223" s="9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</row>
    <row r="2224" spans="5:30" ht="15">
      <c r="E2224" s="9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</row>
    <row r="2225" spans="5:30" ht="15">
      <c r="E2225" s="9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</row>
    <row r="2226" spans="5:30" ht="15">
      <c r="E2226" s="9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</row>
    <row r="2227" spans="5:30" ht="15">
      <c r="E2227" s="9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</row>
    <row r="2228" spans="5:30" ht="15">
      <c r="E2228" s="9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</row>
    <row r="2229" spans="5:30" ht="15">
      <c r="E2229" s="9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</row>
    <row r="2230" spans="5:30" ht="15">
      <c r="E2230" s="9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</row>
    <row r="2231" spans="5:30" ht="15">
      <c r="E2231" s="9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</row>
    <row r="2232" spans="5:30" ht="15">
      <c r="E2232" s="9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</row>
    <row r="2233" spans="5:30" ht="15">
      <c r="E2233" s="9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</row>
    <row r="2234" spans="5:30" ht="15">
      <c r="E2234" s="9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</row>
    <row r="2235" spans="5:30" ht="15">
      <c r="E2235" s="9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</row>
    <row r="2236" spans="5:30" ht="15">
      <c r="E2236" s="9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</row>
    <row r="2237" spans="5:30" ht="15">
      <c r="E2237" s="9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</row>
    <row r="2238" spans="5:30" ht="15">
      <c r="E2238" s="9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</row>
    <row r="2239" spans="5:30" ht="15">
      <c r="E2239" s="9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</row>
    <row r="2240" spans="5:30" ht="15">
      <c r="E2240" s="9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</row>
    <row r="2241" spans="5:30" ht="15">
      <c r="E2241" s="9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</row>
    <row r="2242" spans="5:30" ht="15">
      <c r="E2242" s="9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</row>
    <row r="2243" spans="5:30" ht="15">
      <c r="E2243" s="9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</row>
    <row r="2244" spans="5:30" ht="15">
      <c r="E2244" s="9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</row>
    <row r="2245" spans="5:30" ht="15">
      <c r="E2245" s="9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</row>
    <row r="2246" spans="5:30" ht="15">
      <c r="E2246" s="9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</row>
    <row r="2247" spans="5:30" ht="15">
      <c r="E2247" s="9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</row>
    <row r="2248" spans="5:30" ht="15">
      <c r="E2248" s="9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</row>
    <row r="2249" spans="5:30" ht="15">
      <c r="E2249" s="9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</row>
    <row r="2250" spans="5:30" ht="15">
      <c r="E2250" s="9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</row>
    <row r="2251" spans="5:30" ht="15">
      <c r="E2251" s="9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</row>
    <row r="2252" spans="5:30" ht="15">
      <c r="E2252" s="9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</row>
    <row r="2253" spans="5:30" ht="15">
      <c r="E2253" s="9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</row>
    <row r="2254" spans="5:30" ht="15">
      <c r="E2254" s="9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</row>
    <row r="2255" spans="5:30" ht="15">
      <c r="E2255" s="9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</row>
    <row r="2256" spans="5:30" ht="15">
      <c r="E2256" s="9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</row>
    <row r="2257" spans="5:30" ht="15">
      <c r="E2257" s="9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</row>
    <row r="2258" spans="5:30" ht="15">
      <c r="E2258" s="9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</row>
    <row r="2259" spans="5:30" ht="15">
      <c r="E2259" s="9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</row>
    <row r="2260" spans="5:30" ht="15">
      <c r="E2260" s="9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</row>
    <row r="2261" spans="5:30" ht="15">
      <c r="E2261" s="9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</row>
    <row r="2262" spans="5:30" ht="15">
      <c r="E2262" s="9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</row>
    <row r="2263" spans="5:30" ht="15">
      <c r="E2263" s="9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</row>
    <row r="2264" spans="5:30" ht="15">
      <c r="E2264" s="9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</row>
    <row r="2265" spans="5:30" ht="15">
      <c r="E2265" s="9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</row>
    <row r="2266" spans="5:30" ht="15">
      <c r="E2266" s="9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</row>
    <row r="2267" spans="5:30" ht="15">
      <c r="E2267" s="9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</row>
    <row r="2268" spans="5:30" ht="15">
      <c r="E2268" s="9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</row>
    <row r="2269" spans="5:30" ht="15">
      <c r="E2269" s="9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</row>
    <row r="2270" spans="5:30" ht="15">
      <c r="E2270" s="9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</row>
    <row r="2271" spans="5:30" ht="15">
      <c r="E2271" s="9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</row>
    <row r="2272" spans="5:30" ht="15">
      <c r="E2272" s="9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</row>
    <row r="2273" spans="5:30" ht="15">
      <c r="E2273" s="9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</row>
    <row r="2274" spans="5:30" ht="15">
      <c r="E2274" s="9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</row>
    <row r="2275" spans="5:30" ht="15">
      <c r="E2275" s="9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</row>
    <row r="2276" spans="5:30" ht="15">
      <c r="E2276" s="9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</row>
    <row r="2277" spans="5:30" ht="15">
      <c r="E2277" s="9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</row>
    <row r="2278" spans="5:30" ht="15">
      <c r="E2278" s="9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</row>
    <row r="2279" spans="5:30" ht="15">
      <c r="E2279" s="9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</row>
    <row r="2280" spans="5:30" ht="15">
      <c r="E2280" s="9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</row>
    <row r="2281" spans="5:30" ht="15">
      <c r="E2281" s="9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</row>
    <row r="2282" spans="5:30" ht="15">
      <c r="E2282" s="9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</row>
    <row r="2283" spans="5:30" ht="15">
      <c r="E2283" s="9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</row>
    <row r="2284" spans="5:30" ht="15">
      <c r="E2284" s="9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</row>
    <row r="2285" spans="5:30" ht="15">
      <c r="E2285" s="9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</row>
    <row r="2286" spans="5:30" ht="15">
      <c r="E2286" s="9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</row>
    <row r="2287" spans="5:30" ht="15">
      <c r="E2287" s="9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</row>
    <row r="2288" spans="5:30" ht="15">
      <c r="E2288" s="9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</row>
    <row r="2289" spans="5:30" ht="15">
      <c r="E2289" s="9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</row>
    <row r="2290" spans="5:30" ht="15">
      <c r="E2290" s="9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</row>
    <row r="2291" spans="5:30" ht="15">
      <c r="E2291" s="9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</row>
    <row r="2292" spans="5:30" ht="15">
      <c r="E2292" s="9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</row>
    <row r="2293" spans="5:30" ht="15">
      <c r="E2293" s="9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</row>
    <row r="2294" spans="5:30" ht="15">
      <c r="E2294" s="9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</row>
    <row r="2295" spans="5:30" ht="15">
      <c r="E2295" s="9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</row>
    <row r="2296" spans="5:30" ht="15">
      <c r="E2296" s="9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</row>
    <row r="2297" spans="5:30" ht="15">
      <c r="E2297" s="9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</row>
    <row r="2298" spans="5:30" ht="15">
      <c r="E2298" s="9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</row>
    <row r="2299" spans="5:30" ht="15">
      <c r="E2299" s="9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</row>
    <row r="2300" spans="5:30" ht="15">
      <c r="E2300" s="9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</row>
    <row r="2301" spans="5:30" ht="15">
      <c r="E2301" s="9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</row>
    <row r="2302" spans="5:30" ht="15">
      <c r="E2302" s="9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</row>
    <row r="2303" spans="5:30" ht="15">
      <c r="E2303" s="9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</row>
    <row r="2304" spans="5:30" ht="15">
      <c r="E2304" s="9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</row>
    <row r="2305" spans="5:30" ht="15">
      <c r="E2305" s="9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</row>
    <row r="2306" spans="5:30" ht="15">
      <c r="E2306" s="9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</row>
    <row r="2307" spans="5:30" ht="15">
      <c r="E2307" s="9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</row>
    <row r="2308" spans="5:30" ht="15">
      <c r="E2308" s="9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</row>
    <row r="2309" spans="5:30" ht="15">
      <c r="E2309" s="9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</row>
    <row r="2310" spans="5:30" ht="15">
      <c r="E2310" s="9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</row>
    <row r="2311" spans="5:30" ht="15">
      <c r="E2311" s="9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</row>
    <row r="2312" spans="5:30" ht="15">
      <c r="E2312" s="9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</row>
    <row r="2313" spans="5:30" ht="15">
      <c r="E2313" s="9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</row>
    <row r="2314" spans="5:30" ht="15">
      <c r="E2314" s="9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</row>
    <row r="2315" spans="5:30" ht="15">
      <c r="E2315" s="9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</row>
    <row r="2316" spans="5:30" ht="15">
      <c r="E2316" s="9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</row>
    <row r="2317" spans="5:30" ht="15">
      <c r="E2317" s="9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</row>
    <row r="2318" spans="5:30" ht="15">
      <c r="E2318" s="9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</row>
    <row r="2319" spans="5:30" ht="15">
      <c r="E2319" s="9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</row>
    <row r="2320" spans="5:30" ht="15">
      <c r="E2320" s="9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</row>
    <row r="2321" spans="5:30" ht="15">
      <c r="E2321" s="9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</row>
    <row r="2322" spans="5:30" ht="15">
      <c r="E2322" s="9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</row>
    <row r="2323" spans="5:30" ht="15">
      <c r="E2323" s="9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</row>
    <row r="2324" spans="5:30" ht="15">
      <c r="E2324" s="9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</row>
    <row r="2325" spans="5:30" ht="15">
      <c r="E2325" s="9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</row>
    <row r="2326" spans="5:30" ht="15">
      <c r="E2326" s="9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</row>
    <row r="2327" spans="5:30" ht="15">
      <c r="E2327" s="9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</row>
    <row r="2328" spans="5:30" ht="15">
      <c r="E2328" s="9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</row>
    <row r="2329" spans="5:30" ht="15">
      <c r="E2329" s="9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</row>
    <row r="2330" spans="5:30" ht="15">
      <c r="E2330" s="9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</row>
    <row r="2331" spans="5:30" ht="15">
      <c r="E2331" s="9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</row>
    <row r="2332" spans="5:30" ht="15">
      <c r="E2332" s="9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</row>
    <row r="2333" spans="5:30" ht="15">
      <c r="E2333" s="9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</row>
    <row r="2334" spans="5:30" ht="15">
      <c r="E2334" s="9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</row>
    <row r="2335" spans="5:30" ht="15">
      <c r="E2335" s="9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</row>
    <row r="2336" spans="5:30" ht="15">
      <c r="E2336" s="9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</row>
    <row r="2337" spans="5:30" ht="15">
      <c r="E2337" s="9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</row>
    <row r="2338" spans="5:30" ht="15">
      <c r="E2338" s="9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</row>
    <row r="2339" spans="5:30" ht="15">
      <c r="E2339" s="9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</row>
    <row r="2340" spans="5:30" ht="15">
      <c r="E2340" s="9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</row>
    <row r="2341" spans="5:30" ht="15">
      <c r="E2341" s="9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</row>
    <row r="2342" spans="5:30" ht="15">
      <c r="E2342" s="9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</row>
    <row r="2343" spans="5:30" ht="15">
      <c r="E2343" s="9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</row>
    <row r="2344" spans="5:30" ht="15">
      <c r="E2344" s="9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</row>
    <row r="2345" spans="5:30" ht="15">
      <c r="E2345" s="9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</row>
    <row r="2346" spans="5:30" ht="15">
      <c r="E2346" s="9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</row>
    <row r="2347" spans="5:30" ht="15">
      <c r="E2347" s="9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</row>
    <row r="2348" spans="5:30" ht="15">
      <c r="E2348" s="9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</row>
    <row r="2349" spans="5:30" ht="15">
      <c r="E2349" s="9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</row>
    <row r="2350" spans="5:30" ht="15">
      <c r="E2350" s="9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</row>
    <row r="2351" spans="5:30" ht="15">
      <c r="E2351" s="9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</row>
    <row r="2352" spans="5:30" ht="15">
      <c r="E2352" s="9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</row>
    <row r="2353" spans="5:30" ht="15">
      <c r="E2353" s="9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</row>
    <row r="2354" spans="5:30" ht="15">
      <c r="E2354" s="9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</row>
    <row r="2355" spans="5:30" ht="15">
      <c r="E2355" s="9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</row>
    <row r="2356" spans="5:30" ht="15">
      <c r="E2356" s="9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</row>
    <row r="2357" spans="5:30" ht="15">
      <c r="E2357" s="9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</row>
    <row r="2358" spans="5:30" ht="15">
      <c r="E2358" s="9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</row>
    <row r="2359" spans="5:30" ht="15">
      <c r="E2359" s="9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</row>
    <row r="2360" spans="5:30" ht="15">
      <c r="E2360" s="9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</row>
    <row r="2361" spans="5:30" ht="15">
      <c r="E2361" s="9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</row>
    <row r="2362" spans="5:30" ht="15">
      <c r="E2362" s="9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</row>
    <row r="2363" spans="5:30" ht="15">
      <c r="E2363" s="9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</row>
    <row r="2364" spans="5:30" ht="15">
      <c r="E2364" s="9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</row>
    <row r="2365" spans="5:30" ht="15">
      <c r="E2365" s="9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</row>
    <row r="2366" spans="5:30" ht="15">
      <c r="E2366" s="9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</row>
    <row r="2367" spans="5:30" ht="15">
      <c r="E2367" s="9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</row>
    <row r="2368" spans="5:30" ht="15">
      <c r="E2368" s="9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</row>
    <row r="2369" spans="5:30" ht="15">
      <c r="E2369" s="9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</row>
    <row r="2370" spans="5:30" ht="15">
      <c r="E2370" s="9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</row>
    <row r="2371" spans="5:30" ht="15">
      <c r="E2371" s="9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</row>
    <row r="2372" spans="5:30" ht="15">
      <c r="E2372" s="9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</row>
    <row r="2373" spans="5:30" ht="15">
      <c r="E2373" s="9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</row>
    <row r="2374" spans="5:30" ht="15">
      <c r="E2374" s="9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</row>
    <row r="2375" spans="5:30" ht="15">
      <c r="E2375" s="9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</row>
    <row r="2376" spans="5:30" ht="15">
      <c r="E2376" s="9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</row>
    <row r="2377" spans="5:30" ht="15">
      <c r="E2377" s="9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</row>
    <row r="2378" spans="5:30" ht="15">
      <c r="E2378" s="9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</row>
    <row r="2379" spans="5:30" ht="15">
      <c r="E2379" s="9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</row>
    <row r="2380" spans="5:30" ht="15">
      <c r="E2380" s="9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</row>
    <row r="2381" spans="5:30" ht="15">
      <c r="E2381" s="9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</row>
    <row r="2382" spans="5:30" ht="15">
      <c r="E2382" s="9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</row>
    <row r="2383" spans="5:30" ht="15">
      <c r="E2383" s="9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</row>
    <row r="2384" spans="5:30" ht="15">
      <c r="E2384" s="9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</row>
    <row r="2385" spans="5:30" ht="15">
      <c r="E2385" s="9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</row>
    <row r="2386" spans="5:30" ht="15">
      <c r="E2386" s="9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</row>
    <row r="2387" spans="5:30" ht="15">
      <c r="E2387" s="9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</row>
    <row r="2388" spans="5:30" ht="15">
      <c r="E2388" s="9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</row>
    <row r="2389" spans="5:30" ht="15">
      <c r="E2389" s="9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</row>
    <row r="2390" spans="5:30" ht="15">
      <c r="E2390" s="9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</row>
    <row r="2391" spans="5:30" ht="15">
      <c r="E2391" s="9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</row>
    <row r="2392" spans="5:30" ht="15">
      <c r="E2392" s="9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</row>
    <row r="2393" spans="5:30" ht="15">
      <c r="E2393" s="9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</row>
    <row r="2394" spans="5:30" ht="15">
      <c r="E2394" s="9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</row>
    <row r="2395" spans="5:30" ht="15">
      <c r="E2395" s="9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</row>
    <row r="2396" spans="5:30" ht="15">
      <c r="E2396" s="9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</row>
    <row r="2397" spans="5:30" ht="15">
      <c r="E2397" s="9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</row>
    <row r="2398" spans="5:30" ht="15">
      <c r="E2398" s="9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</row>
    <row r="2399" spans="5:30" ht="15">
      <c r="E2399" s="9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</row>
    <row r="2400" spans="5:30" ht="15">
      <c r="E2400" s="9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</row>
    <row r="2401" spans="5:30" ht="15">
      <c r="E2401" s="9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</row>
    <row r="2402" spans="5:30" ht="15">
      <c r="E2402" s="9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</row>
    <row r="2403" spans="5:30" ht="15">
      <c r="E2403" s="9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</row>
    <row r="2404" spans="5:30" ht="15">
      <c r="E2404" s="9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</row>
    <row r="2405" spans="5:30" ht="15">
      <c r="E2405" s="9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</row>
    <row r="2406" spans="5:30" ht="15">
      <c r="E2406" s="9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</row>
    <row r="2407" spans="5:30" ht="15">
      <c r="E2407" s="9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</row>
    <row r="2408" spans="5:30" ht="15">
      <c r="E2408" s="9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</row>
    <row r="2409" spans="5:30" ht="15">
      <c r="E2409" s="9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</row>
    <row r="2410" spans="5:30" ht="15">
      <c r="E2410" s="9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</row>
    <row r="2411" spans="5:30" ht="15">
      <c r="E2411" s="9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</row>
    <row r="2412" spans="5:30" ht="15">
      <c r="E2412" s="9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</row>
    <row r="2413" spans="5:30" ht="15">
      <c r="E2413" s="9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</row>
    <row r="2414" spans="5:30" ht="15">
      <c r="E2414" s="9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</row>
    <row r="2415" spans="5:30" ht="15">
      <c r="E2415" s="9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</row>
    <row r="2416" spans="5:30" ht="15">
      <c r="E2416" s="9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</row>
    <row r="2417" spans="5:30" ht="15">
      <c r="E2417" s="9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</row>
    <row r="2418" spans="5:30" ht="15">
      <c r="E2418" s="9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</row>
    <row r="2419" spans="5:30" ht="15">
      <c r="E2419" s="9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</row>
    <row r="2420" spans="5:30" ht="15">
      <c r="E2420" s="9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</row>
    <row r="2421" spans="5:30" ht="15">
      <c r="E2421" s="9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</row>
    <row r="2422" spans="5:30" ht="15">
      <c r="E2422" s="9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</row>
    <row r="2423" spans="5:30" ht="15">
      <c r="E2423" s="9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</row>
    <row r="2424" spans="5:30" ht="15">
      <c r="E2424" s="9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</row>
    <row r="2425" spans="5:30" ht="15">
      <c r="E2425" s="9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</row>
    <row r="2426" spans="5:30" ht="15">
      <c r="E2426" s="9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</row>
    <row r="2427" spans="5:30" ht="15">
      <c r="E2427" s="9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</row>
    <row r="2428" spans="5:30" ht="15">
      <c r="E2428" s="9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</row>
    <row r="2429" spans="5:30" ht="15">
      <c r="E2429" s="9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</row>
    <row r="2430" spans="5:30" ht="15">
      <c r="E2430" s="9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</row>
    <row r="2431" spans="5:30" ht="15">
      <c r="E2431" s="9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</row>
    <row r="2432" spans="5:30" ht="15">
      <c r="E2432" s="9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</row>
    <row r="2433" spans="5:30" ht="15">
      <c r="E2433" s="9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</row>
    <row r="2434" spans="5:30" ht="15">
      <c r="E2434" s="9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</row>
    <row r="2435" spans="5:30" ht="15">
      <c r="E2435" s="9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</row>
    <row r="2436" spans="5:30" ht="15">
      <c r="E2436" s="9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</row>
    <row r="2437" spans="5:30" ht="15">
      <c r="E2437" s="9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</row>
    <row r="2438" spans="5:30" ht="15">
      <c r="E2438" s="9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</row>
    <row r="2439" spans="5:30" ht="15">
      <c r="E2439" s="9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</row>
    <row r="2440" spans="5:30" ht="15">
      <c r="E2440" s="9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</row>
    <row r="2441" spans="5:30" ht="15">
      <c r="E2441" s="9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</row>
    <row r="2442" spans="5:30" ht="15">
      <c r="E2442" s="9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</row>
    <row r="2443" spans="5:30" ht="15">
      <c r="E2443" s="9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</row>
    <row r="2444" spans="5:30" ht="15">
      <c r="E2444" s="9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</row>
    <row r="2445" spans="5:30" ht="15">
      <c r="E2445" s="9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</row>
    <row r="2446" spans="5:30" ht="15">
      <c r="E2446" s="9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</row>
    <row r="2447" spans="5:30" ht="15">
      <c r="E2447" s="9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</row>
    <row r="2448" spans="5:30" ht="15">
      <c r="E2448" s="9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</row>
    <row r="2449" spans="5:30" ht="15">
      <c r="E2449" s="9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</row>
    <row r="2450" spans="5:30" ht="15">
      <c r="E2450" s="9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</row>
    <row r="2451" spans="5:30" ht="15">
      <c r="E2451" s="9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</row>
    <row r="2452" spans="5:30" ht="15">
      <c r="E2452" s="9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</row>
    <row r="2453" spans="5:30" ht="15">
      <c r="E2453" s="9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</row>
    <row r="2454" spans="5:30" ht="15">
      <c r="E2454" s="9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</row>
    <row r="2455" spans="5:30" ht="15">
      <c r="E2455" s="9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/>
      <c r="AD2455" s="5"/>
    </row>
    <row r="2456" spans="5:30" ht="15">
      <c r="E2456" s="9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/>
      <c r="AD2456" s="5"/>
    </row>
    <row r="2457" spans="5:30" ht="15">
      <c r="E2457" s="9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/>
      <c r="AD2457" s="5"/>
    </row>
    <row r="2458" spans="5:30" ht="15">
      <c r="E2458" s="9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</row>
    <row r="2459" spans="5:30" ht="15">
      <c r="E2459" s="9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/>
      <c r="AD2459" s="5"/>
    </row>
    <row r="2460" spans="5:30" ht="15">
      <c r="E2460" s="9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/>
      <c r="AD2460" s="5"/>
    </row>
    <row r="2461" spans="5:30" ht="15">
      <c r="E2461" s="9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</row>
    <row r="2462" spans="5:30" ht="15">
      <c r="E2462" s="9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/>
      <c r="AD2462" s="5"/>
    </row>
    <row r="2463" spans="5:30" ht="15">
      <c r="E2463" s="9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/>
      <c r="AD2463" s="5"/>
    </row>
    <row r="2464" spans="5:30" ht="15">
      <c r="E2464" s="9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/>
      <c r="AD2464" s="5"/>
    </row>
    <row r="2465" spans="5:30" ht="15">
      <c r="E2465" s="9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/>
      <c r="AD2465" s="5"/>
    </row>
    <row r="2466" spans="5:30" ht="15">
      <c r="E2466" s="9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/>
      <c r="AD2466" s="5"/>
    </row>
    <row r="2467" spans="5:30" ht="15">
      <c r="E2467" s="9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/>
      <c r="AD2467" s="5"/>
    </row>
    <row r="2468" spans="5:30" ht="15">
      <c r="E2468" s="9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/>
      <c r="AD2468" s="5"/>
    </row>
    <row r="2469" spans="5:30" ht="15">
      <c r="E2469" s="9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/>
      <c r="AD2469" s="5"/>
    </row>
    <row r="2470" spans="5:30" ht="15">
      <c r="E2470" s="9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/>
      <c r="AD2470" s="5"/>
    </row>
    <row r="2471" spans="5:30" ht="15">
      <c r="E2471" s="9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/>
      <c r="AD2471" s="5"/>
    </row>
    <row r="2472" spans="5:30" ht="15">
      <c r="E2472" s="9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/>
      <c r="AD2472" s="5"/>
    </row>
    <row r="2473" spans="5:30" ht="15">
      <c r="E2473" s="9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/>
      <c r="AD2473" s="5"/>
    </row>
    <row r="2474" spans="5:30" ht="15">
      <c r="E2474" s="9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/>
      <c r="AD2474" s="5"/>
    </row>
    <row r="2475" spans="5:30" ht="15">
      <c r="E2475" s="9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/>
      <c r="AD2475" s="5"/>
    </row>
    <row r="2476" spans="5:30" ht="15">
      <c r="E2476" s="9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/>
      <c r="AD2476" s="5"/>
    </row>
    <row r="2477" spans="5:30" ht="15">
      <c r="E2477" s="9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/>
      <c r="AD2477" s="5"/>
    </row>
    <row r="2478" spans="5:30" ht="15">
      <c r="E2478" s="9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/>
      <c r="AD2478" s="5"/>
    </row>
    <row r="2479" spans="5:30" ht="15">
      <c r="E2479" s="9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/>
      <c r="AD2479" s="5"/>
    </row>
    <row r="2480" spans="5:30" ht="15">
      <c r="E2480" s="9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/>
      <c r="AD2480" s="5"/>
    </row>
    <row r="2481" spans="5:30" ht="15">
      <c r="E2481" s="9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/>
      <c r="AD2481" s="5"/>
    </row>
    <row r="2482" spans="5:30" ht="15">
      <c r="E2482" s="9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/>
      <c r="AD2482" s="5"/>
    </row>
    <row r="2483" spans="5:30" ht="15">
      <c r="E2483" s="9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/>
      <c r="AD2483" s="5"/>
    </row>
    <row r="2484" spans="5:30" ht="15">
      <c r="E2484" s="9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/>
      <c r="AD2484" s="5"/>
    </row>
    <row r="2485" spans="5:30" ht="15">
      <c r="E2485" s="9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/>
      <c r="AD2485" s="5"/>
    </row>
    <row r="2486" spans="5:30" ht="15">
      <c r="E2486" s="9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/>
      <c r="AD2486" s="5"/>
    </row>
    <row r="2487" spans="5:30" ht="15">
      <c r="E2487" s="9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</row>
    <row r="2488" spans="5:30" ht="15">
      <c r="E2488" s="9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</row>
    <row r="2489" spans="5:30" ht="15">
      <c r="E2489" s="9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</row>
    <row r="2490" spans="5:30" ht="15">
      <c r="E2490" s="9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/>
      <c r="AD2490" s="5"/>
    </row>
    <row r="2491" spans="5:30" ht="15">
      <c r="E2491" s="9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/>
      <c r="AD2491" s="5"/>
    </row>
    <row r="2492" spans="5:30" ht="15">
      <c r="E2492" s="9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/>
      <c r="AD2492" s="5"/>
    </row>
    <row r="2493" spans="5:30" ht="15">
      <c r="E2493" s="9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/>
      <c r="AD2493" s="5"/>
    </row>
    <row r="2494" spans="5:30" ht="15">
      <c r="E2494" s="9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/>
      <c r="AD2494" s="5"/>
    </row>
    <row r="2495" spans="5:30" ht="15">
      <c r="E2495" s="9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/>
      <c r="AD2495" s="5"/>
    </row>
    <row r="2496" spans="5:30" ht="15">
      <c r="E2496" s="9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/>
      <c r="AD2496" s="5"/>
    </row>
    <row r="2497" spans="5:30" ht="15">
      <c r="E2497" s="9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</row>
    <row r="2498" spans="5:30" ht="15">
      <c r="E2498" s="9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/>
      <c r="AD2498" s="5"/>
    </row>
    <row r="2499" spans="5:30" ht="15">
      <c r="E2499" s="9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/>
      <c r="AD2499" s="5"/>
    </row>
    <row r="2500" spans="5:30" ht="15">
      <c r="E2500" s="9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/>
      <c r="AD2500" s="5"/>
    </row>
    <row r="2501" spans="5:30" ht="15">
      <c r="E2501" s="9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/>
      <c r="AD2501" s="5"/>
    </row>
    <row r="2502" spans="5:30" ht="15">
      <c r="E2502" s="9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/>
      <c r="AD2502" s="5"/>
    </row>
    <row r="2503" spans="5:30" ht="15">
      <c r="E2503" s="9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/>
      <c r="AD2503" s="5"/>
    </row>
    <row r="2504" spans="5:30" ht="15">
      <c r="E2504" s="9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/>
      <c r="AD2504" s="5"/>
    </row>
    <row r="2505" spans="5:30" ht="15">
      <c r="E2505" s="9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/>
      <c r="AD2505" s="5"/>
    </row>
    <row r="2506" spans="5:30" ht="15">
      <c r="E2506" s="9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/>
      <c r="AD2506" s="5"/>
    </row>
    <row r="2507" spans="5:30" ht="15">
      <c r="E2507" s="9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/>
      <c r="AD2507" s="5"/>
    </row>
    <row r="2508" spans="5:30" ht="15">
      <c r="E2508" s="9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/>
      <c r="AD2508" s="5"/>
    </row>
    <row r="2509" spans="5:30" ht="15">
      <c r="E2509" s="9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/>
      <c r="AD2509" s="5"/>
    </row>
    <row r="2510" spans="5:30" ht="15">
      <c r="E2510" s="9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/>
      <c r="AD2510" s="5"/>
    </row>
    <row r="2511" spans="5:30" ht="15">
      <c r="E2511" s="9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/>
      <c r="AD2511" s="5"/>
    </row>
    <row r="2512" spans="5:30" ht="15">
      <c r="E2512" s="9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/>
      <c r="AD2512" s="5"/>
    </row>
    <row r="2513" spans="5:30" ht="15">
      <c r="E2513" s="9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/>
      <c r="AD2513" s="5"/>
    </row>
    <row r="2514" spans="5:30" ht="15">
      <c r="E2514" s="9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/>
      <c r="AD2514" s="5"/>
    </row>
    <row r="2515" spans="5:30" ht="15">
      <c r="E2515" s="9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/>
      <c r="AD2515" s="5"/>
    </row>
    <row r="2516" spans="5:30" ht="15">
      <c r="E2516" s="9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/>
      <c r="AD2516" s="5"/>
    </row>
    <row r="2517" spans="5:30" ht="15">
      <c r="E2517" s="9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/>
      <c r="AD2517" s="5"/>
    </row>
    <row r="2518" spans="5:30" ht="15">
      <c r="E2518" s="9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/>
      <c r="AD2518" s="5"/>
    </row>
    <row r="2519" spans="5:30" ht="15">
      <c r="E2519" s="9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/>
      <c r="AD2519" s="5"/>
    </row>
    <row r="2520" spans="5:30" ht="15">
      <c r="E2520" s="9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/>
      <c r="AD2520" s="5"/>
    </row>
    <row r="2521" spans="5:30" ht="15">
      <c r="E2521" s="9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/>
      <c r="AD2521" s="5"/>
    </row>
    <row r="2522" spans="5:30" ht="15">
      <c r="E2522" s="9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/>
      <c r="AD2522" s="5"/>
    </row>
    <row r="2523" spans="5:30" ht="15">
      <c r="E2523" s="9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/>
      <c r="AD2523" s="5"/>
    </row>
    <row r="2524" spans="5:30" ht="15">
      <c r="E2524" s="9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/>
      <c r="AD2524" s="5"/>
    </row>
    <row r="2525" spans="5:30" ht="15">
      <c r="E2525" s="9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</row>
    <row r="2526" spans="5:30" ht="15">
      <c r="E2526" s="9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/>
      <c r="AD2526" s="5"/>
    </row>
    <row r="2527" spans="5:30" ht="15">
      <c r="E2527" s="9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/>
      <c r="AD2527" s="5"/>
    </row>
    <row r="2528" spans="5:30" ht="15">
      <c r="E2528" s="9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/>
      <c r="AD2528" s="5"/>
    </row>
    <row r="2529" spans="5:30" ht="15">
      <c r="E2529" s="9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/>
      <c r="AD2529" s="5"/>
    </row>
    <row r="2530" spans="5:30" ht="15">
      <c r="E2530" s="9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/>
      <c r="AD2530" s="5"/>
    </row>
    <row r="2531" spans="5:30" ht="15">
      <c r="E2531" s="9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/>
      <c r="AD2531" s="5"/>
    </row>
    <row r="2532" spans="5:30" ht="15">
      <c r="E2532" s="9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/>
      <c r="AD2532" s="5"/>
    </row>
    <row r="2533" spans="5:30" ht="15">
      <c r="E2533" s="9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/>
      <c r="AD2533" s="5"/>
    </row>
    <row r="2534" spans="5:30" ht="15">
      <c r="E2534" s="9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/>
      <c r="AD2534" s="5"/>
    </row>
    <row r="2535" spans="5:30" ht="15">
      <c r="E2535" s="9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/>
      <c r="AD2535" s="5"/>
    </row>
    <row r="2536" spans="5:30" ht="15">
      <c r="E2536" s="9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</row>
    <row r="2537" spans="5:30" ht="15">
      <c r="E2537" s="9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/>
      <c r="AD2537" s="5"/>
    </row>
    <row r="2538" spans="5:30" ht="15">
      <c r="E2538" s="9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/>
      <c r="AD2538" s="5"/>
    </row>
    <row r="2539" spans="5:30" ht="15">
      <c r="E2539" s="9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/>
      <c r="AD2539" s="5"/>
    </row>
    <row r="2540" spans="5:30" ht="15">
      <c r="E2540" s="9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</row>
    <row r="2541" spans="5:30" ht="15">
      <c r="E2541" s="9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</row>
    <row r="2542" spans="5:30" ht="15">
      <c r="E2542" s="9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</row>
    <row r="2543" spans="5:30" ht="15">
      <c r="E2543" s="9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5"/>
      <c r="AD2543" s="5"/>
    </row>
    <row r="2544" spans="5:30" ht="15">
      <c r="E2544" s="9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/>
      <c r="AD2544" s="5"/>
    </row>
    <row r="2545" spans="5:30" ht="15">
      <c r="E2545" s="9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/>
      <c r="AD2545" s="5"/>
    </row>
    <row r="2546" spans="5:30" ht="15">
      <c r="E2546" s="9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/>
      <c r="AD2546" s="5"/>
    </row>
    <row r="2547" spans="5:30" ht="15">
      <c r="E2547" s="9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/>
      <c r="AD2547" s="5"/>
    </row>
    <row r="2548" spans="5:30" ht="15">
      <c r="E2548" s="9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/>
      <c r="AD2548" s="5"/>
    </row>
    <row r="2549" spans="5:30" ht="15">
      <c r="E2549" s="9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/>
      <c r="AD2549" s="5"/>
    </row>
    <row r="2550" spans="5:30" ht="15">
      <c r="E2550" s="9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/>
      <c r="AD2550" s="5"/>
    </row>
    <row r="2551" spans="5:30" ht="15">
      <c r="E2551" s="9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/>
      <c r="AD2551" s="5"/>
    </row>
    <row r="2552" spans="5:30" ht="15">
      <c r="E2552" s="9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/>
      <c r="AD2552" s="5"/>
    </row>
    <row r="2553" spans="5:30" ht="15">
      <c r="E2553" s="9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/>
      <c r="AD2553" s="5"/>
    </row>
    <row r="2554" spans="5:30" ht="15">
      <c r="E2554" s="9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/>
      <c r="AD2554" s="5"/>
    </row>
    <row r="2555" spans="5:30" ht="15">
      <c r="E2555" s="9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/>
      <c r="AD2555" s="5"/>
    </row>
    <row r="2556" spans="5:30" ht="15">
      <c r="E2556" s="9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/>
      <c r="AD2556" s="5"/>
    </row>
    <row r="2557" spans="5:30" ht="15">
      <c r="E2557" s="9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/>
      <c r="AD2557" s="5"/>
    </row>
    <row r="2558" spans="5:30" ht="15">
      <c r="E2558" s="9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/>
      <c r="AD2558" s="5"/>
    </row>
    <row r="2559" spans="5:30" ht="15">
      <c r="E2559" s="9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/>
      <c r="AD2559" s="5"/>
    </row>
    <row r="2560" spans="5:30" ht="15">
      <c r="E2560" s="9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</row>
    <row r="2561" spans="5:30" ht="15">
      <c r="E2561" s="9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</row>
    <row r="2562" spans="5:30" ht="15">
      <c r="E2562" s="9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/>
      <c r="AD2562" s="5"/>
    </row>
    <row r="2563" spans="5:30" ht="15">
      <c r="E2563" s="9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</row>
    <row r="2564" spans="5:30" ht="15">
      <c r="E2564" s="9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/>
      <c r="AD2564" s="5"/>
    </row>
    <row r="2565" spans="5:30" ht="15">
      <c r="E2565" s="9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/>
      <c r="AD2565" s="5"/>
    </row>
    <row r="2566" spans="5:30" ht="15">
      <c r="E2566" s="9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/>
      <c r="AD2566" s="5"/>
    </row>
    <row r="2567" spans="5:30" ht="15">
      <c r="E2567" s="9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/>
      <c r="AD2567" s="5"/>
    </row>
    <row r="2568" spans="5:30" ht="15">
      <c r="E2568" s="9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/>
      <c r="AD2568" s="5"/>
    </row>
    <row r="2569" spans="5:30" ht="15">
      <c r="E2569" s="9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</row>
    <row r="2570" spans="5:30" ht="15">
      <c r="E2570" s="9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/>
      <c r="AD2570" s="5"/>
    </row>
    <row r="2571" spans="5:30" ht="15">
      <c r="E2571" s="9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/>
      <c r="AD2571" s="5"/>
    </row>
    <row r="2572" spans="5:30" ht="15">
      <c r="E2572" s="9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</row>
    <row r="2573" spans="5:30" ht="15">
      <c r="E2573" s="9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/>
      <c r="AD2573" s="5"/>
    </row>
    <row r="2574" spans="5:30" ht="15">
      <c r="E2574" s="9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/>
      <c r="AD2574" s="5"/>
    </row>
    <row r="2575" spans="5:30" ht="15">
      <c r="E2575" s="9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/>
      <c r="AD2575" s="5"/>
    </row>
    <row r="2576" spans="5:30" ht="15">
      <c r="E2576" s="9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/>
      <c r="AD2576" s="5"/>
    </row>
    <row r="2577" spans="5:30" ht="15">
      <c r="E2577" s="9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/>
      <c r="AD2577" s="5"/>
    </row>
    <row r="2578" spans="5:30" ht="15">
      <c r="E2578" s="9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/>
      <c r="AD2578" s="5"/>
    </row>
    <row r="2579" spans="5:30" ht="15">
      <c r="E2579" s="9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/>
      <c r="AD2579" s="5"/>
    </row>
    <row r="2580" spans="5:30" ht="15">
      <c r="E2580" s="9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/>
      <c r="AD2580" s="5"/>
    </row>
    <row r="2581" spans="5:30" ht="15">
      <c r="E2581" s="9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</row>
    <row r="2582" spans="5:30" ht="15">
      <c r="E2582" s="9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/>
      <c r="AD2582" s="5"/>
    </row>
    <row r="2583" spans="5:30" ht="15">
      <c r="E2583" s="9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</row>
    <row r="2584" spans="5:30" ht="15">
      <c r="E2584" s="9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/>
      <c r="AD2584" s="5"/>
    </row>
    <row r="2585" spans="5:30" ht="15">
      <c r="E2585" s="9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/>
      <c r="AD2585" s="5"/>
    </row>
    <row r="2586" spans="5:30" ht="15">
      <c r="E2586" s="9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/>
      <c r="AD2586" s="5"/>
    </row>
    <row r="2587" spans="5:30" ht="15">
      <c r="E2587" s="9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/>
      <c r="AD2587" s="5"/>
    </row>
    <row r="2588" spans="5:30" ht="15">
      <c r="E2588" s="9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/>
      <c r="AD2588" s="5"/>
    </row>
    <row r="2589" spans="5:30" ht="15">
      <c r="E2589" s="9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/>
      <c r="AD2589" s="5"/>
    </row>
    <row r="2590" spans="5:30" ht="15">
      <c r="E2590" s="9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</row>
    <row r="2591" spans="5:30" ht="15">
      <c r="E2591" s="9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/>
      <c r="AD2591" s="5"/>
    </row>
    <row r="2592" spans="5:30" ht="15">
      <c r="E2592" s="9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/>
      <c r="AD2592" s="5"/>
    </row>
    <row r="2593" spans="5:30" ht="15">
      <c r="E2593" s="9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/>
      <c r="AD2593" s="5"/>
    </row>
    <row r="2594" spans="5:30" ht="15">
      <c r="E2594" s="9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/>
      <c r="AD2594" s="5"/>
    </row>
    <row r="2595" spans="5:30" ht="15">
      <c r="E2595" s="9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</row>
    <row r="2596" spans="5:30" ht="15">
      <c r="E2596" s="9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</row>
    <row r="2597" spans="5:30" ht="15">
      <c r="E2597" s="9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</row>
    <row r="2598" spans="5:30" ht="15">
      <c r="E2598" s="9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/>
      <c r="AD2598" s="5"/>
    </row>
    <row r="2599" spans="5:30" ht="15">
      <c r="E2599" s="9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/>
      <c r="AD2599" s="5"/>
    </row>
    <row r="2600" spans="5:30" ht="15">
      <c r="E2600" s="9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/>
      <c r="AD2600" s="5"/>
    </row>
    <row r="2601" spans="5:30" ht="15">
      <c r="E2601" s="9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/>
      <c r="AD2601" s="5"/>
    </row>
    <row r="2602" spans="5:30" ht="15">
      <c r="E2602" s="9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</row>
    <row r="2603" spans="5:30" ht="15">
      <c r="E2603" s="9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/>
      <c r="AD2603" s="5"/>
    </row>
    <row r="2604" spans="5:30" ht="15">
      <c r="E2604" s="9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/>
      <c r="AD2604" s="5"/>
    </row>
    <row r="2605" spans="5:30" ht="15">
      <c r="E2605" s="9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</row>
    <row r="2606" spans="5:30" ht="15">
      <c r="E2606" s="9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/>
      <c r="AD2606" s="5"/>
    </row>
    <row r="2607" spans="5:30" ht="15">
      <c r="E2607" s="9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/>
      <c r="AD2607" s="5"/>
    </row>
    <row r="2608" spans="5:30" ht="15">
      <c r="E2608" s="9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/>
      <c r="AD2608" s="5"/>
    </row>
    <row r="2609" spans="5:30" ht="15">
      <c r="E2609" s="9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/>
      <c r="AD2609" s="5"/>
    </row>
    <row r="2610" spans="5:30" ht="15">
      <c r="E2610" s="9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/>
      <c r="AD2610" s="5"/>
    </row>
    <row r="2611" spans="5:30" ht="15">
      <c r="E2611" s="9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/>
      <c r="AD2611" s="5"/>
    </row>
    <row r="2612" spans="5:30" ht="15">
      <c r="E2612" s="9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/>
      <c r="AD2612" s="5"/>
    </row>
    <row r="2613" spans="5:30" ht="15">
      <c r="E2613" s="9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/>
      <c r="AD2613" s="5"/>
    </row>
    <row r="2614" spans="5:30" ht="15">
      <c r="E2614" s="9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/>
      <c r="AD2614" s="5"/>
    </row>
    <row r="2615" spans="5:30" ht="15">
      <c r="E2615" s="9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/>
      <c r="AD2615" s="5"/>
    </row>
    <row r="2616" spans="5:30" ht="15">
      <c r="E2616" s="9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/>
      <c r="AD2616" s="5"/>
    </row>
    <row r="2617" spans="5:30" ht="15">
      <c r="E2617" s="9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</row>
    <row r="2618" spans="5:30" ht="15">
      <c r="E2618" s="9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/>
      <c r="AD2618" s="5"/>
    </row>
    <row r="2619" spans="5:30" ht="15">
      <c r="E2619" s="9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/>
      <c r="AD2619" s="5"/>
    </row>
    <row r="2620" spans="5:30" ht="15">
      <c r="E2620" s="9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/>
      <c r="AD2620" s="5"/>
    </row>
    <row r="2621" spans="5:30" ht="15">
      <c r="E2621" s="9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/>
      <c r="AD2621" s="5"/>
    </row>
    <row r="2622" spans="5:30" ht="15">
      <c r="E2622" s="9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/>
      <c r="AD2622" s="5"/>
    </row>
    <row r="2623" spans="5:30" ht="15">
      <c r="E2623" s="9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</row>
    <row r="2624" spans="5:30" ht="15">
      <c r="E2624" s="9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/>
      <c r="AD2624" s="5"/>
    </row>
    <row r="2625" spans="5:30" ht="15">
      <c r="E2625" s="9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/>
      <c r="AD2625" s="5"/>
    </row>
    <row r="2626" spans="5:30" ht="15">
      <c r="E2626" s="9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</row>
    <row r="2627" spans="5:30" ht="15">
      <c r="E2627" s="9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/>
      <c r="AD2627" s="5"/>
    </row>
    <row r="2628" spans="5:30" ht="15">
      <c r="E2628" s="9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/>
      <c r="AD2628" s="5"/>
    </row>
    <row r="2629" spans="5:30" ht="15">
      <c r="E2629" s="9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/>
      <c r="AD2629" s="5"/>
    </row>
    <row r="2630" spans="5:30" ht="15">
      <c r="E2630" s="9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/>
      <c r="AD2630" s="5"/>
    </row>
    <row r="2631" spans="5:30" ht="15">
      <c r="E2631" s="9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/>
      <c r="AD2631" s="5"/>
    </row>
    <row r="2632" spans="5:30" ht="15">
      <c r="E2632" s="9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/>
      <c r="AD2632" s="5"/>
    </row>
    <row r="2633" spans="5:30" ht="15">
      <c r="E2633" s="9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</row>
    <row r="2634" spans="5:30" ht="15">
      <c r="E2634" s="9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/>
      <c r="AD2634" s="5"/>
    </row>
    <row r="2635" spans="5:30" ht="15">
      <c r="E2635" s="9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</row>
    <row r="2636" spans="5:30" ht="15">
      <c r="E2636" s="9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/>
      <c r="AD2636" s="5"/>
    </row>
    <row r="2637" spans="5:30" ht="15">
      <c r="E2637" s="9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/>
      <c r="AD2637" s="5"/>
    </row>
    <row r="2638" spans="5:30" ht="15">
      <c r="E2638" s="9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</row>
    <row r="2639" spans="5:30" ht="15">
      <c r="E2639" s="9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/>
      <c r="AD2639" s="5"/>
    </row>
    <row r="2640" spans="5:30" ht="15">
      <c r="E2640" s="9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/>
      <c r="AD2640" s="5"/>
    </row>
    <row r="2641" spans="5:30" ht="15">
      <c r="E2641" s="9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</row>
    <row r="2642" spans="5:30" ht="15">
      <c r="E2642" s="9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/>
      <c r="AD2642" s="5"/>
    </row>
    <row r="2643" spans="5:30" ht="15">
      <c r="E2643" s="9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/>
      <c r="AD2643" s="5"/>
    </row>
    <row r="2644" spans="5:30" ht="15">
      <c r="E2644" s="9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</row>
    <row r="2645" spans="5:30" ht="15">
      <c r="E2645" s="9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/>
      <c r="AD2645" s="5"/>
    </row>
    <row r="2646" spans="5:30" ht="15">
      <c r="E2646" s="9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/>
      <c r="AD2646" s="5"/>
    </row>
    <row r="2647" spans="5:30" ht="15">
      <c r="E2647" s="9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/>
      <c r="AD2647" s="5"/>
    </row>
    <row r="2648" spans="5:30" ht="15">
      <c r="E2648" s="9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/>
      <c r="AD2648" s="5"/>
    </row>
    <row r="2649" spans="5:30" ht="15">
      <c r="E2649" s="9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</row>
    <row r="2650" spans="5:30" ht="15">
      <c r="E2650" s="9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</row>
    <row r="2651" spans="5:30" ht="15">
      <c r="E2651" s="9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/>
      <c r="AD2651" s="5"/>
    </row>
    <row r="2652" spans="5:30" ht="15">
      <c r="E2652" s="9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/>
      <c r="AD2652" s="5"/>
    </row>
    <row r="2653" spans="5:30" ht="15">
      <c r="E2653" s="9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/>
      <c r="AD2653" s="5"/>
    </row>
    <row r="2654" spans="5:30" ht="15">
      <c r="E2654" s="9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/>
      <c r="AD2654" s="5"/>
    </row>
    <row r="2655" spans="5:30" ht="15">
      <c r="E2655" s="9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/>
      <c r="AD2655" s="5"/>
    </row>
    <row r="2656" spans="5:30" ht="15">
      <c r="E2656" s="9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/>
      <c r="AD2656" s="5"/>
    </row>
    <row r="2657" spans="5:30" ht="15">
      <c r="E2657" s="9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/>
      <c r="AD2657" s="5"/>
    </row>
    <row r="2658" spans="5:30" ht="15">
      <c r="E2658" s="9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/>
      <c r="AD2658" s="5"/>
    </row>
    <row r="2659" spans="5:30" ht="15">
      <c r="E2659" s="9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</row>
    <row r="2660" spans="5:30" ht="15">
      <c r="E2660" s="9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/>
      <c r="AD2660" s="5"/>
    </row>
    <row r="2661" spans="5:30" ht="15">
      <c r="E2661" s="9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/>
      <c r="AD2661" s="5"/>
    </row>
    <row r="2662" spans="5:30" ht="15">
      <c r="E2662" s="9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/>
      <c r="AD2662" s="5"/>
    </row>
    <row r="2663" spans="5:30" ht="15">
      <c r="E2663" s="9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/>
      <c r="AD2663" s="5"/>
    </row>
    <row r="2664" spans="5:30" ht="15">
      <c r="E2664" s="9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/>
      <c r="AD2664" s="5"/>
    </row>
    <row r="2665" spans="5:30" ht="15">
      <c r="E2665" s="9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</row>
    <row r="2666" spans="5:30" ht="15">
      <c r="E2666" s="9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/>
      <c r="AD2666" s="5"/>
    </row>
    <row r="2667" spans="5:30" ht="15">
      <c r="E2667" s="9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/>
      <c r="AD2667" s="5"/>
    </row>
    <row r="2668" spans="5:30" ht="15">
      <c r="E2668" s="9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</row>
    <row r="2669" spans="5:30" ht="15">
      <c r="E2669" s="9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</row>
    <row r="2670" spans="5:30" ht="15">
      <c r="E2670" s="9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</row>
    <row r="2671" spans="5:30" ht="15">
      <c r="E2671" s="9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</row>
    <row r="2672" spans="5:30" ht="15">
      <c r="E2672" s="9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</row>
    <row r="2673" spans="5:30" ht="15">
      <c r="E2673" s="9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</row>
    <row r="2674" spans="5:30" ht="15">
      <c r="E2674" s="9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</row>
    <row r="2675" spans="5:30" ht="15">
      <c r="E2675" s="9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</row>
    <row r="2676" spans="5:30" ht="15">
      <c r="E2676" s="9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</row>
    <row r="2677" spans="5:30" ht="15">
      <c r="E2677" s="9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</row>
    <row r="2678" spans="5:30" ht="15">
      <c r="E2678" s="9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</row>
    <row r="2679" spans="5:30" ht="15">
      <c r="E2679" s="9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</row>
    <row r="2680" spans="5:30" ht="15">
      <c r="E2680" s="9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</row>
    <row r="2681" spans="5:30" ht="15">
      <c r="E2681" s="9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</row>
    <row r="2682" spans="5:30" ht="15">
      <c r="E2682" s="9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</row>
    <row r="2683" spans="5:30" ht="15">
      <c r="E2683" s="9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</row>
    <row r="2684" spans="5:30" ht="15">
      <c r="E2684" s="9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</row>
    <row r="2685" spans="5:30" ht="15">
      <c r="E2685" s="9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</row>
    <row r="2686" spans="5:30" ht="15">
      <c r="E2686" s="9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</row>
    <row r="2687" spans="5:30" ht="15">
      <c r="E2687" s="9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</row>
    <row r="2688" spans="5:30" ht="15">
      <c r="E2688" s="9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</row>
    <row r="2689" spans="5:30" ht="15">
      <c r="E2689" s="9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</row>
    <row r="2690" spans="5:30" ht="15">
      <c r="E2690" s="9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</row>
    <row r="2691" spans="5:30" ht="15">
      <c r="E2691" s="9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</row>
    <row r="2692" spans="5:30" ht="15">
      <c r="E2692" s="9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</row>
    <row r="2693" spans="5:30" ht="15">
      <c r="E2693" s="9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</row>
    <row r="2694" spans="5:30" ht="15">
      <c r="E2694" s="9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</row>
    <row r="2695" spans="5:30" ht="15">
      <c r="E2695" s="9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</row>
    <row r="2696" spans="5:30" ht="15">
      <c r="E2696" s="9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</row>
    <row r="2697" spans="5:30" ht="15">
      <c r="E2697" s="9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</row>
    <row r="2698" spans="5:30" ht="15">
      <c r="E2698" s="9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</row>
    <row r="2699" spans="5:30" ht="15">
      <c r="E2699" s="9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</row>
    <row r="2700" spans="5:30" ht="15">
      <c r="E2700" s="9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</row>
    <row r="2701" spans="5:30" ht="15">
      <c r="E2701" s="9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</row>
    <row r="2702" spans="5:30" ht="15">
      <c r="E2702" s="9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</row>
    <row r="2703" spans="5:30" ht="15">
      <c r="E2703" s="9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</row>
    <row r="2704" spans="5:30" ht="15">
      <c r="E2704" s="9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</row>
    <row r="2705" spans="5:30" ht="15">
      <c r="E2705" s="9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</row>
    <row r="2706" spans="5:30" ht="15">
      <c r="E2706" s="9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</row>
    <row r="2707" spans="5:30" ht="15">
      <c r="E2707" s="9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</row>
    <row r="2708" spans="5:30" ht="15">
      <c r="E2708" s="9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</row>
    <row r="2709" spans="5:30" ht="15">
      <c r="E2709" s="9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</row>
    <row r="2710" spans="5:30" ht="15">
      <c r="E2710" s="9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</row>
    <row r="2711" spans="5:30" ht="15">
      <c r="E2711" s="9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</row>
    <row r="2712" spans="5:30" ht="15">
      <c r="E2712" s="9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</row>
    <row r="2713" spans="5:30" ht="15">
      <c r="E2713" s="9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</row>
    <row r="2714" spans="5:30" ht="15">
      <c r="E2714" s="9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</row>
    <row r="2715" spans="5:30" ht="15">
      <c r="E2715" s="9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</row>
    <row r="2716" spans="5:30" ht="15">
      <c r="E2716" s="9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</row>
    <row r="2717" spans="5:30" ht="15">
      <c r="E2717" s="9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</row>
    <row r="2718" spans="5:30" ht="15">
      <c r="E2718" s="9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</row>
    <row r="2719" spans="5:30" ht="15">
      <c r="E2719" s="9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</row>
    <row r="2720" spans="5:30" ht="15">
      <c r="E2720" s="9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</row>
    <row r="2721" spans="5:30" ht="15">
      <c r="E2721" s="9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</row>
    <row r="2722" spans="5:30" ht="15">
      <c r="E2722" s="9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</row>
    <row r="2723" spans="5:30" ht="15">
      <c r="E2723" s="9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</row>
    <row r="2724" spans="5:30" ht="15">
      <c r="E2724" s="9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</row>
    <row r="2725" spans="5:30" ht="15">
      <c r="E2725" s="9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</row>
    <row r="2726" spans="5:30" ht="15">
      <c r="E2726" s="9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</row>
    <row r="2727" spans="5:30" ht="15">
      <c r="E2727" s="9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</row>
    <row r="2728" spans="5:30" ht="15">
      <c r="E2728" s="9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</row>
    <row r="2729" spans="5:30" ht="15">
      <c r="E2729" s="9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</row>
    <row r="2730" spans="5:30" ht="15">
      <c r="E2730" s="9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</row>
    <row r="2731" spans="5:30" ht="15">
      <c r="E2731" s="9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</row>
    <row r="2732" spans="5:30" ht="15">
      <c r="E2732" s="9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</row>
    <row r="2733" spans="5:30" ht="15">
      <c r="E2733" s="9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</row>
    <row r="2734" spans="5:30" ht="15">
      <c r="E2734" s="9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</row>
    <row r="2735" spans="5:30" ht="15">
      <c r="E2735" s="9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</row>
    <row r="2736" spans="5:30" ht="15">
      <c r="E2736" s="9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</row>
    <row r="2737" spans="5:30" ht="15">
      <c r="E2737" s="9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</row>
    <row r="2738" spans="5:30" ht="15">
      <c r="E2738" s="9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</row>
    <row r="2739" spans="5:30" ht="15">
      <c r="E2739" s="9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</row>
    <row r="2740" spans="5:30" ht="15">
      <c r="E2740" s="9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</row>
    <row r="2741" spans="5:30" ht="15">
      <c r="E2741" s="9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</row>
    <row r="2742" spans="5:30" ht="15">
      <c r="E2742" s="9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</row>
    <row r="2743" spans="5:30" ht="15">
      <c r="E2743" s="9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</row>
    <row r="2744" spans="5:30" ht="15">
      <c r="E2744" s="9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</row>
    <row r="2745" spans="5:30" ht="15">
      <c r="E2745" s="9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</row>
    <row r="2746" spans="5:30" ht="15">
      <c r="E2746" s="9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</row>
    <row r="2747" spans="5:30" ht="15">
      <c r="E2747" s="9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</row>
    <row r="2748" spans="5:30" ht="15">
      <c r="E2748" s="9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</row>
    <row r="2749" spans="5:30" ht="15">
      <c r="E2749" s="9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</row>
    <row r="2750" spans="5:30" ht="15">
      <c r="E2750" s="9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</row>
    <row r="2751" spans="5:30" ht="15">
      <c r="E2751" s="9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</row>
    <row r="2752" spans="5:30" ht="15">
      <c r="E2752" s="9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</row>
    <row r="2753" spans="5:30" ht="15">
      <c r="E2753" s="9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</row>
    <row r="2754" spans="5:30" ht="15">
      <c r="E2754" s="9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</row>
    <row r="2755" spans="5:30" ht="15">
      <c r="E2755" s="9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</row>
    <row r="2756" spans="5:30" ht="15">
      <c r="E2756" s="9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</row>
    <row r="2757" spans="5:30" ht="15">
      <c r="E2757" s="9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</row>
    <row r="2758" spans="5:30" ht="15">
      <c r="E2758" s="9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</row>
    <row r="2759" spans="5:30" ht="15">
      <c r="E2759" s="9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</row>
    <row r="2760" spans="5:30" ht="15">
      <c r="E2760" s="9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</row>
    <row r="2761" spans="5:30" ht="15">
      <c r="E2761" s="9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</row>
    <row r="2762" spans="5:30" ht="15">
      <c r="E2762" s="9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</row>
    <row r="2763" spans="5:30" ht="15">
      <c r="E2763" s="9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</row>
    <row r="2764" spans="5:30" ht="15">
      <c r="E2764" s="9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</row>
    <row r="2765" spans="5:30" ht="15">
      <c r="E2765" s="9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</row>
    <row r="2766" spans="5:30" ht="15">
      <c r="E2766" s="9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</row>
    <row r="2767" spans="5:30" ht="15">
      <c r="E2767" s="9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</row>
    <row r="2768" spans="5:30" ht="15">
      <c r="E2768" s="9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</row>
    <row r="2769" spans="5:30" ht="15">
      <c r="E2769" s="9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</row>
    <row r="2770" spans="5:30" ht="15">
      <c r="E2770" s="9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</row>
    <row r="2771" spans="5:30" ht="15">
      <c r="E2771" s="9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</row>
    <row r="2772" spans="5:30" ht="15">
      <c r="E2772" s="9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</row>
    <row r="2773" spans="5:30" ht="15">
      <c r="E2773" s="9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</row>
    <row r="2774" spans="5:30" ht="15">
      <c r="E2774" s="9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</row>
    <row r="2775" spans="5:30" ht="15">
      <c r="E2775" s="9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</row>
    <row r="2776" spans="5:30" ht="15">
      <c r="E2776" s="9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</row>
    <row r="2777" spans="5:30" ht="15">
      <c r="E2777" s="9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</row>
    <row r="2778" spans="5:30" ht="15">
      <c r="E2778" s="9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</row>
    <row r="2779" spans="5:30" ht="15">
      <c r="E2779" s="9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</row>
    <row r="2780" spans="5:30" ht="15">
      <c r="E2780" s="9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</row>
    <row r="2781" spans="5:30" ht="15">
      <c r="E2781" s="9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</row>
    <row r="2782" spans="5:30" ht="15">
      <c r="E2782" s="9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</row>
    <row r="2783" spans="5:30" ht="15">
      <c r="E2783" s="9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</row>
    <row r="2784" spans="5:30" ht="15">
      <c r="E2784" s="9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</row>
    <row r="2785" spans="5:30" ht="15">
      <c r="E2785" s="9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</row>
    <row r="2786" spans="5:30" ht="15">
      <c r="E2786" s="9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</row>
    <row r="2787" spans="5:30" ht="15">
      <c r="E2787" s="9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</row>
    <row r="2788" spans="5:30" ht="15">
      <c r="E2788" s="9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</row>
    <row r="2789" spans="5:30" ht="15">
      <c r="E2789" s="9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</row>
    <row r="2790" spans="5:30" ht="15">
      <c r="E2790" s="9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</row>
    <row r="2791" spans="5:30" ht="15">
      <c r="E2791" s="9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</row>
    <row r="2792" spans="5:30" ht="15">
      <c r="E2792" s="9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</row>
    <row r="2793" spans="5:30" ht="15">
      <c r="E2793" s="9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</row>
    <row r="2794" spans="5:30" ht="15">
      <c r="E2794" s="9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</row>
    <row r="2795" spans="5:30" ht="15">
      <c r="E2795" s="9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</row>
    <row r="2796" spans="5:30" ht="15">
      <c r="E2796" s="9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</row>
    <row r="2797" spans="5:30" ht="15">
      <c r="E2797" s="9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</row>
    <row r="2798" spans="5:30" ht="15">
      <c r="E2798" s="9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</row>
    <row r="2799" spans="5:30" ht="15">
      <c r="E2799" s="9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</row>
    <row r="2800" spans="5:30" ht="15">
      <c r="E2800" s="9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</row>
    <row r="2801" spans="5:30" ht="15">
      <c r="E2801" s="9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</row>
    <row r="2802" spans="5:30" ht="15">
      <c r="E2802" s="9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</row>
    <row r="2803" spans="5:30" ht="15">
      <c r="E2803" s="9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</row>
    <row r="2804" spans="5:30" ht="15">
      <c r="E2804" s="9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</row>
    <row r="2805" spans="5:30" ht="15">
      <c r="E2805" s="9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</row>
    <row r="2806" spans="5:30" ht="15">
      <c r="E2806" s="9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</row>
    <row r="2807" spans="5:30" ht="15">
      <c r="E2807" s="9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</row>
    <row r="2808" spans="5:30" ht="15">
      <c r="E2808" s="9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</row>
    <row r="2809" spans="5:30" ht="15">
      <c r="E2809" s="9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</row>
    <row r="2810" spans="5:30" ht="15">
      <c r="E2810" s="9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</row>
    <row r="2811" spans="5:30" ht="15">
      <c r="E2811" s="9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</row>
    <row r="2812" spans="5:30" ht="15">
      <c r="E2812" s="9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</row>
    <row r="2813" spans="5:30" ht="15">
      <c r="E2813" s="9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</row>
    <row r="2814" spans="5:30" ht="15">
      <c r="E2814" s="9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</row>
    <row r="2815" spans="5:30" ht="15">
      <c r="E2815" s="9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</row>
    <row r="2816" spans="5:30" ht="15">
      <c r="E2816" s="9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</row>
    <row r="2817" spans="5:30" ht="15">
      <c r="E2817" s="9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</row>
    <row r="2818" spans="5:30" ht="15">
      <c r="E2818" s="9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</row>
    <row r="2819" spans="5:30" ht="15">
      <c r="E2819" s="9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</row>
    <row r="2820" spans="5:30" ht="15">
      <c r="E2820" s="9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</row>
    <row r="2821" spans="5:30" ht="15">
      <c r="E2821" s="9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</row>
    <row r="2822" spans="5:30" ht="15">
      <c r="E2822" s="9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</row>
    <row r="2823" spans="5:30" ht="15">
      <c r="E2823" s="9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</row>
    <row r="2824" spans="5:30" ht="15">
      <c r="E2824" s="9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</row>
    <row r="2825" spans="5:30" ht="15">
      <c r="E2825" s="9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</row>
    <row r="2826" spans="5:30" ht="15">
      <c r="E2826" s="9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</row>
    <row r="2827" spans="5:30" ht="15">
      <c r="E2827" s="9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</row>
    <row r="2828" spans="5:30" ht="15">
      <c r="E2828" s="9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</row>
    <row r="2829" spans="5:30" ht="15">
      <c r="E2829" s="9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</row>
    <row r="2830" spans="5:30" ht="15">
      <c r="E2830" s="9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</row>
    <row r="2831" spans="5:30" ht="15">
      <c r="E2831" s="9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</row>
    <row r="2832" spans="5:30" ht="15">
      <c r="E2832" s="9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</row>
    <row r="2833" spans="5:30" ht="15">
      <c r="E2833" s="9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</row>
    <row r="2834" spans="5:30" ht="15">
      <c r="E2834" s="9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</row>
    <row r="2835" spans="5:30" ht="15">
      <c r="E2835" s="9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</row>
    <row r="2836" spans="5:30" ht="15">
      <c r="E2836" s="9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</row>
    <row r="2837" spans="5:30" ht="15">
      <c r="E2837" s="9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</row>
    <row r="2838" spans="5:30" ht="15">
      <c r="E2838" s="9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</row>
    <row r="2839" spans="5:30" ht="15">
      <c r="E2839" s="9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</row>
    <row r="2840" spans="5:30" ht="15">
      <c r="E2840" s="9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</row>
    <row r="2841" spans="5:30" ht="15">
      <c r="E2841" s="9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</row>
    <row r="2842" spans="5:30" ht="15">
      <c r="E2842" s="9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</row>
    <row r="2843" spans="5:30" ht="15">
      <c r="E2843" s="9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</row>
    <row r="2844" spans="5:30" ht="15">
      <c r="E2844" s="9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</row>
    <row r="2845" spans="5:30" ht="15">
      <c r="E2845" s="9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</row>
    <row r="2846" spans="5:30" ht="15">
      <c r="E2846" s="9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</row>
    <row r="2847" spans="5:30" ht="15">
      <c r="E2847" s="9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</row>
    <row r="2848" spans="5:30" ht="15">
      <c r="E2848" s="9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</row>
    <row r="2849" spans="5:30" ht="15">
      <c r="E2849" s="9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</row>
    <row r="2850" spans="5:30" ht="15">
      <c r="E2850" s="9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</row>
    <row r="2851" spans="5:30" ht="15">
      <c r="E2851" s="9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</row>
    <row r="2852" spans="5:30" ht="15">
      <c r="E2852" s="9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</row>
    <row r="2853" spans="5:30" ht="15">
      <c r="E2853" s="9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</row>
    <row r="2854" spans="5:30" ht="15">
      <c r="E2854" s="9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</row>
    <row r="2855" spans="5:30" ht="15">
      <c r="E2855" s="9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</row>
    <row r="2856" spans="5:30" ht="15">
      <c r="E2856" s="9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</row>
    <row r="2857" spans="5:30" ht="15">
      <c r="E2857" s="9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</row>
    <row r="2858" spans="5:30" ht="15">
      <c r="E2858" s="9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</row>
    <row r="2859" spans="5:30" ht="15">
      <c r="E2859" s="9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</row>
    <row r="2860" spans="5:30" ht="15">
      <c r="E2860" s="9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</row>
    <row r="2861" spans="5:30" ht="15">
      <c r="E2861" s="9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</row>
    <row r="2862" spans="5:30" ht="15">
      <c r="E2862" s="9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</row>
    <row r="2863" spans="5:30" ht="15">
      <c r="E2863" s="9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</row>
    <row r="2864" spans="5:30" ht="15">
      <c r="E2864" s="9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</row>
    <row r="2865" spans="5:30" ht="15">
      <c r="E2865" s="9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</row>
    <row r="2866" spans="5:30" ht="15">
      <c r="E2866" s="9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</row>
    <row r="2867" spans="5:30" ht="15">
      <c r="E2867" s="9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</row>
    <row r="2868" spans="5:30" ht="15">
      <c r="E2868" s="9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</row>
    <row r="2869" spans="5:30" ht="15">
      <c r="E2869" s="9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</row>
    <row r="2870" spans="5:30" ht="15">
      <c r="E2870" s="9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</row>
    <row r="2871" spans="5:30" ht="15">
      <c r="E2871" s="9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</row>
    <row r="2872" spans="5:30" ht="15">
      <c r="E2872" s="9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</row>
    <row r="2873" spans="5:30" ht="15">
      <c r="E2873" s="9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</row>
    <row r="2874" spans="5:30" ht="15">
      <c r="E2874" s="9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</row>
    <row r="2875" spans="5:30" ht="15">
      <c r="E2875" s="9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</row>
    <row r="2876" spans="5:30" ht="15">
      <c r="E2876" s="9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</row>
    <row r="2877" spans="5:30" ht="15">
      <c r="E2877" s="9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</row>
    <row r="2878" spans="5:30" ht="15">
      <c r="E2878" s="9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</row>
    <row r="2879" spans="5:30" ht="15">
      <c r="E2879" s="9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</row>
    <row r="2880" spans="5:30" ht="15">
      <c r="E2880" s="9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</row>
    <row r="2881" spans="5:30" ht="15">
      <c r="E2881" s="9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</row>
    <row r="2882" spans="5:30" ht="15">
      <c r="E2882" s="9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</row>
    <row r="2883" spans="5:30" ht="15">
      <c r="E2883" s="9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</row>
    <row r="2884" spans="5:30" ht="15">
      <c r="E2884" s="9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</row>
    <row r="2885" spans="5:30" ht="15">
      <c r="E2885" s="9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</row>
    <row r="2886" spans="5:30" ht="15">
      <c r="E2886" s="9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</row>
    <row r="2887" spans="5:30" ht="15">
      <c r="E2887" s="9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</row>
    <row r="2888" spans="5:30" ht="15">
      <c r="E2888" s="9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</row>
    <row r="2889" spans="5:30" ht="15">
      <c r="E2889" s="9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</row>
    <row r="2890" spans="5:30" ht="15">
      <c r="E2890" s="9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</row>
    <row r="2891" spans="5:30" ht="15">
      <c r="E2891" s="9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</row>
    <row r="2892" spans="5:30" ht="15">
      <c r="E2892" s="9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</row>
    <row r="2893" spans="5:30" ht="15">
      <c r="E2893" s="9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</row>
    <row r="2894" spans="5:30" ht="15">
      <c r="E2894" s="9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</row>
    <row r="2895" spans="5:30" ht="15">
      <c r="E2895" s="9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</row>
    <row r="2896" spans="5:30" ht="15">
      <c r="E2896" s="9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</row>
    <row r="2897" spans="5:30" ht="15">
      <c r="E2897" s="9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</row>
    <row r="2898" spans="5:30" ht="15">
      <c r="E2898" s="9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</row>
    <row r="2899" spans="5:30" ht="15">
      <c r="E2899" s="9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</row>
    <row r="2900" spans="5:30" ht="15">
      <c r="E2900" s="9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</row>
    <row r="2901" spans="5:30" ht="15">
      <c r="E2901" s="9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</row>
    <row r="2902" spans="5:30" ht="15">
      <c r="E2902" s="9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</row>
    <row r="2903" spans="5:30" ht="15">
      <c r="E2903" s="9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</row>
    <row r="2904" spans="5:30" ht="15">
      <c r="E2904" s="9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</row>
    <row r="2905" spans="5:30" ht="15">
      <c r="E2905" s="9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</row>
    <row r="2906" spans="5:30" ht="15">
      <c r="E2906" s="9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</row>
    <row r="2907" spans="5:30" ht="15">
      <c r="E2907" s="9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</row>
    <row r="2908" spans="5:30" ht="15">
      <c r="E2908" s="9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</row>
    <row r="2909" spans="5:30" ht="15">
      <c r="E2909" s="9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</row>
    <row r="2910" spans="5:30" ht="15">
      <c r="E2910" s="9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</row>
    <row r="2911" spans="5:30" ht="15">
      <c r="E2911" s="9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</row>
    <row r="2912" spans="5:30" ht="15">
      <c r="E2912" s="9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</row>
    <row r="2913" spans="5:30" ht="15">
      <c r="E2913" s="9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</row>
    <row r="2914" spans="5:30" ht="15">
      <c r="E2914" s="9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</row>
    <row r="2915" spans="5:30" ht="15">
      <c r="E2915" s="9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</row>
    <row r="2916" spans="5:30" ht="15">
      <c r="E2916" s="9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</row>
    <row r="2917" spans="5:30" ht="15">
      <c r="E2917" s="9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</row>
    <row r="2918" spans="5:30" ht="15">
      <c r="E2918" s="9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</row>
    <row r="2919" spans="5:30" ht="15">
      <c r="E2919" s="9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</row>
    <row r="2920" spans="5:30" ht="15">
      <c r="E2920" s="9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</row>
    <row r="2921" spans="5:30" ht="15">
      <c r="E2921" s="9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</row>
    <row r="2922" spans="5:30" ht="15">
      <c r="E2922" s="9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</row>
    <row r="2923" spans="5:30" ht="15">
      <c r="E2923" s="9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</row>
    <row r="2924" spans="5:30" ht="15">
      <c r="E2924" s="9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</row>
    <row r="2925" spans="5:30" ht="15">
      <c r="E2925" s="9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</row>
    <row r="2926" spans="5:30" ht="15">
      <c r="E2926" s="9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</row>
    <row r="2927" spans="5:30" ht="15">
      <c r="E2927" s="9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</row>
    <row r="2928" spans="5:30" ht="15">
      <c r="E2928" s="9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</row>
    <row r="2929" spans="5:30" ht="15">
      <c r="E2929" s="9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</row>
    <row r="2930" spans="5:30" ht="15">
      <c r="E2930" s="9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</row>
    <row r="2931" spans="5:30" ht="15">
      <c r="E2931" s="9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</row>
    <row r="2932" spans="5:30" ht="15">
      <c r="E2932" s="9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</row>
    <row r="2933" spans="5:30" ht="15">
      <c r="E2933" s="9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</row>
    <row r="2934" spans="5:30" ht="15">
      <c r="E2934" s="9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</row>
    <row r="2935" spans="5:30" ht="15">
      <c r="E2935" s="9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</row>
    <row r="2936" spans="5:30" ht="15">
      <c r="E2936" s="9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</row>
    <row r="2937" spans="5:30" ht="15">
      <c r="E2937" s="9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</row>
    <row r="2938" spans="5:30" ht="15">
      <c r="E2938" s="9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</row>
    <row r="2939" spans="5:30" ht="15">
      <c r="E2939" s="9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</row>
    <row r="2940" spans="5:30" ht="15">
      <c r="E2940" s="9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</row>
    <row r="2941" spans="5:30" ht="15">
      <c r="E2941" s="9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</row>
    <row r="2942" spans="5:30" ht="15">
      <c r="E2942" s="9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</row>
    <row r="2943" spans="5:30" ht="15">
      <c r="E2943" s="9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</row>
    <row r="2944" spans="5:30" ht="15">
      <c r="E2944" s="9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</row>
    <row r="2945" spans="5:30" ht="15">
      <c r="E2945" s="9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</row>
    <row r="2946" spans="5:30" ht="15">
      <c r="E2946" s="9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</row>
    <row r="2947" spans="5:30" ht="15">
      <c r="E2947" s="9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</row>
    <row r="2948" spans="5:30" ht="15">
      <c r="E2948" s="9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</row>
    <row r="2949" spans="5:30" ht="15">
      <c r="E2949" s="9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</row>
    <row r="2950" spans="5:30" ht="15">
      <c r="E2950" s="9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</row>
    <row r="2951" spans="5:30" ht="15">
      <c r="E2951" s="9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</row>
    <row r="2952" spans="5:30" ht="15">
      <c r="E2952" s="9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</row>
    <row r="2953" spans="5:30" ht="15">
      <c r="E2953" s="9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</row>
    <row r="2954" spans="5:30" ht="15">
      <c r="E2954" s="9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</row>
    <row r="2955" spans="5:30" ht="15">
      <c r="E2955" s="9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</row>
    <row r="2956" spans="5:30" ht="15">
      <c r="E2956" s="9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</row>
    <row r="2957" spans="5:30" ht="15">
      <c r="E2957" s="9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</row>
    <row r="2958" spans="5:30" ht="15">
      <c r="E2958" s="9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</row>
    <row r="2959" spans="5:30" ht="15">
      <c r="E2959" s="9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</row>
    <row r="2960" spans="5:30" ht="15">
      <c r="E2960" s="9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</row>
    <row r="2961" spans="5:30" ht="15">
      <c r="E2961" s="9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</row>
    <row r="2962" spans="5:30" ht="15">
      <c r="E2962" s="9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</row>
    <row r="2963" spans="5:30" ht="15">
      <c r="E2963" s="9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</row>
    <row r="2964" spans="5:30" ht="15">
      <c r="E2964" s="9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</row>
    <row r="2965" spans="5:30" ht="15">
      <c r="E2965" s="9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</row>
    <row r="2966" spans="5:30" ht="15">
      <c r="E2966" s="9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</row>
    <row r="2967" spans="5:30" ht="15">
      <c r="E2967" s="9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</row>
    <row r="2968" spans="5:30" ht="15">
      <c r="E2968" s="9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</row>
    <row r="2969" spans="5:30" ht="15">
      <c r="E2969" s="9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</row>
    <row r="2970" spans="5:30" ht="15">
      <c r="E2970" s="9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</row>
    <row r="2971" spans="5:30" ht="15">
      <c r="E2971" s="9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</row>
    <row r="2972" spans="5:30" ht="15">
      <c r="E2972" s="9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</row>
    <row r="2973" spans="5:30" ht="15">
      <c r="E2973" s="9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</row>
    <row r="2974" spans="5:30" ht="15">
      <c r="E2974" s="9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</row>
    <row r="2975" spans="5:30" ht="15">
      <c r="E2975" s="9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</row>
    <row r="2976" spans="5:30" ht="15">
      <c r="E2976" s="9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</row>
    <row r="2977" spans="5:30" ht="15">
      <c r="E2977" s="9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</row>
    <row r="2978" spans="5:30" ht="15">
      <c r="E2978" s="9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</row>
    <row r="2979" spans="5:30" ht="15">
      <c r="E2979" s="9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</row>
    <row r="2980" spans="5:30" ht="15">
      <c r="E2980" s="9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</row>
    <row r="2981" spans="5:30" ht="15">
      <c r="E2981" s="9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</row>
    <row r="2982" spans="5:30" ht="15">
      <c r="E2982" s="9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</row>
    <row r="2983" spans="5:30" ht="15">
      <c r="E2983" s="9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</row>
    <row r="2984" spans="5:30" ht="15">
      <c r="E2984" s="9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</row>
    <row r="2985" spans="5:30" ht="15">
      <c r="E2985" s="9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</row>
    <row r="2986" spans="5:30" ht="15">
      <c r="E2986" s="9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</row>
    <row r="2987" spans="5:30" ht="15">
      <c r="E2987" s="9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</row>
    <row r="2988" spans="5:30" ht="15">
      <c r="E2988" s="9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</row>
    <row r="2989" spans="5:30" ht="15">
      <c r="E2989" s="9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</row>
    <row r="2990" spans="5:30" ht="15">
      <c r="E2990" s="9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</row>
    <row r="2991" spans="5:30" ht="15">
      <c r="E2991" s="9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</row>
    <row r="2992" spans="5:30" ht="15">
      <c r="E2992" s="9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</row>
    <row r="2993" spans="5:30" ht="15">
      <c r="E2993" s="9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</row>
    <row r="2994" spans="5:30" ht="15">
      <c r="E2994" s="9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</row>
    <row r="2995" spans="5:30" ht="15">
      <c r="E2995" s="9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</row>
    <row r="2996" spans="5:30" ht="15">
      <c r="E2996" s="9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</row>
    <row r="2997" spans="5:30" ht="15">
      <c r="E2997" s="9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</row>
    <row r="2998" spans="5:30" ht="15">
      <c r="E2998" s="9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</row>
    <row r="2999" spans="5:30" ht="15">
      <c r="E2999" s="9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</row>
    <row r="3000" spans="5:30" ht="15">
      <c r="E3000" s="9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</row>
    <row r="3001" spans="5:30" ht="15">
      <c r="E3001" s="9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</row>
    <row r="3002" spans="5:30" ht="15">
      <c r="E3002" s="9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</row>
    <row r="3003" spans="5:30" ht="15">
      <c r="E3003" s="9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</row>
    <row r="3004" spans="5:30" ht="15">
      <c r="E3004" s="9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</row>
    <row r="3005" spans="5:30" ht="15">
      <c r="E3005" s="9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</row>
    <row r="3006" spans="5:30" ht="15">
      <c r="E3006" s="9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</row>
    <row r="3007" spans="5:30" ht="15">
      <c r="E3007" s="9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</row>
    <row r="3008" spans="5:30" ht="15">
      <c r="E3008" s="9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</row>
    <row r="3009" spans="5:30" ht="15">
      <c r="E3009" s="9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</row>
    <row r="3010" spans="5:30" ht="15">
      <c r="E3010" s="9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</row>
    <row r="3011" spans="5:30" ht="15">
      <c r="E3011" s="9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</row>
    <row r="3012" spans="5:30" ht="15">
      <c r="E3012" s="9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</row>
    <row r="3013" spans="5:30" ht="15">
      <c r="E3013" s="9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</row>
    <row r="3014" spans="5:30" ht="15">
      <c r="E3014" s="9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</row>
    <row r="3015" spans="5:30" ht="15">
      <c r="E3015" s="9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</row>
    <row r="3016" spans="5:30" ht="15">
      <c r="E3016" s="9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</row>
    <row r="3017" spans="5:30" ht="15">
      <c r="E3017" s="9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</row>
    <row r="3018" spans="5:30" ht="15">
      <c r="E3018" s="9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</row>
    <row r="3019" spans="5:30" ht="15">
      <c r="E3019" s="9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</row>
    <row r="3020" spans="5:30" ht="15">
      <c r="E3020" s="9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</row>
    <row r="3021" spans="5:30" ht="15">
      <c r="E3021" s="9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</row>
    <row r="3022" spans="5:30" ht="15">
      <c r="E3022" s="9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</row>
    <row r="3023" spans="5:30" ht="15">
      <c r="E3023" s="9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</row>
    <row r="3024" spans="5:30" ht="15">
      <c r="E3024" s="9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</row>
    <row r="3025" spans="5:30" ht="15">
      <c r="E3025" s="9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</row>
    <row r="3026" spans="5:30" ht="15">
      <c r="E3026" s="9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</row>
    <row r="3027" spans="5:30" ht="15">
      <c r="E3027" s="9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</row>
    <row r="3028" spans="5:30" ht="15">
      <c r="E3028" s="9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</row>
    <row r="3029" spans="5:30" ht="15">
      <c r="E3029" s="9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</row>
    <row r="3030" spans="5:30" ht="15">
      <c r="E3030" s="9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</row>
    <row r="3031" spans="5:30" ht="15">
      <c r="E3031" s="9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</row>
    <row r="3032" spans="5:30" ht="15">
      <c r="E3032" s="9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</row>
    <row r="3033" spans="5:30" ht="15">
      <c r="E3033" s="9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</row>
    <row r="3034" spans="5:30" ht="15">
      <c r="E3034" s="9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</row>
    <row r="3035" spans="5:30" ht="15">
      <c r="E3035" s="9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</row>
    <row r="3036" spans="5:30" ht="15">
      <c r="E3036" s="9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</row>
    <row r="3037" spans="5:30" ht="15">
      <c r="E3037" s="9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</row>
    <row r="3038" spans="5:30" ht="15">
      <c r="E3038" s="9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</row>
    <row r="3039" spans="5:30" ht="15">
      <c r="E3039" s="9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</row>
    <row r="3040" spans="5:30" ht="15">
      <c r="E3040" s="9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</row>
    <row r="3041" spans="5:30" ht="15">
      <c r="E3041" s="9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</row>
    <row r="3042" spans="5:30" ht="15">
      <c r="E3042" s="9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</row>
    <row r="3043" spans="5:30" ht="15">
      <c r="E3043" s="9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</row>
    <row r="3044" spans="5:30" ht="15">
      <c r="E3044" s="9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</row>
    <row r="3045" spans="5:30" ht="15">
      <c r="E3045" s="9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</row>
    <row r="3046" spans="5:30" ht="15">
      <c r="E3046" s="9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</row>
    <row r="3047" spans="5:30" ht="15">
      <c r="E3047" s="9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</row>
    <row r="3048" spans="5:30" ht="15">
      <c r="E3048" s="9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</row>
    <row r="3049" spans="5:30" ht="15">
      <c r="E3049" s="9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</row>
    <row r="3050" spans="5:30" ht="15">
      <c r="E3050" s="9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</row>
    <row r="3051" spans="5:30" ht="15">
      <c r="E3051" s="9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</row>
    <row r="3052" spans="5:30" ht="15">
      <c r="E3052" s="9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</row>
    <row r="3053" spans="5:30" ht="15">
      <c r="E3053" s="9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</row>
    <row r="3054" spans="5:30" ht="15">
      <c r="E3054" s="9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</row>
    <row r="3055" spans="5:30" ht="15">
      <c r="E3055" s="9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</row>
    <row r="3056" spans="5:30" ht="15">
      <c r="E3056" s="9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</row>
    <row r="3057" spans="5:30" ht="15">
      <c r="E3057" s="9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</row>
    <row r="3058" spans="5:30" ht="15">
      <c r="E3058" s="9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</row>
    <row r="3059" spans="5:30" ht="15">
      <c r="E3059" s="9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</row>
    <row r="3060" spans="5:30" ht="15">
      <c r="E3060" s="9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</row>
    <row r="3061" spans="5:30" ht="15">
      <c r="E3061" s="9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</row>
    <row r="3062" spans="5:30" ht="15">
      <c r="E3062" s="9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</row>
    <row r="3063" spans="5:30" ht="15">
      <c r="E3063" s="9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</row>
    <row r="3064" spans="5:30" ht="15">
      <c r="E3064" s="9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</row>
    <row r="3065" spans="5:30" ht="15">
      <c r="E3065" s="9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</row>
    <row r="3066" spans="5:30" ht="15">
      <c r="E3066" s="9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</row>
    <row r="3067" spans="5:30" ht="15">
      <c r="E3067" s="9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</row>
    <row r="3068" spans="5:30" ht="15">
      <c r="E3068" s="9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</row>
    <row r="3069" spans="5:30" ht="15">
      <c r="E3069" s="9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</row>
    <row r="3070" spans="5:30" ht="15">
      <c r="E3070" s="9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</row>
    <row r="3071" spans="5:30" ht="15">
      <c r="E3071" s="9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</row>
    <row r="3072" spans="5:30" ht="15">
      <c r="E3072" s="9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</row>
    <row r="3073" spans="5:30" ht="15">
      <c r="E3073" s="9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</row>
    <row r="3074" spans="5:30" ht="15">
      <c r="E3074" s="9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</row>
    <row r="3075" spans="5:30" ht="15">
      <c r="E3075" s="9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</row>
    <row r="3076" spans="5:30" ht="15">
      <c r="E3076" s="9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</row>
    <row r="3077" spans="5:30" ht="15">
      <c r="E3077" s="9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</row>
    <row r="3078" spans="5:30" ht="15">
      <c r="E3078" s="9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</row>
    <row r="3079" spans="5:30" ht="15">
      <c r="E3079" s="9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</row>
    <row r="3080" spans="5:30" ht="15">
      <c r="E3080" s="9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</row>
    <row r="3081" spans="5:30" ht="15">
      <c r="E3081" s="9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</row>
    <row r="3082" spans="5:30" ht="15">
      <c r="E3082" s="9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</row>
    <row r="3083" spans="5:30" ht="15">
      <c r="E3083" s="9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</row>
    <row r="3084" spans="5:30" ht="15">
      <c r="E3084" s="9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</row>
    <row r="3085" spans="5:30" ht="15">
      <c r="E3085" s="9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</row>
    <row r="3086" spans="5:30" ht="15">
      <c r="E3086" s="9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</row>
    <row r="3087" spans="5:30" ht="15">
      <c r="E3087" s="9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</row>
    <row r="3088" spans="5:30" ht="15">
      <c r="E3088" s="9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</row>
    <row r="3089" spans="5:30" ht="15">
      <c r="E3089" s="9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</row>
    <row r="3090" spans="5:30" ht="15">
      <c r="E3090" s="9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</row>
    <row r="3091" spans="5:30" ht="15">
      <c r="E3091" s="9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</row>
    <row r="3092" spans="5:30" ht="15">
      <c r="E3092" s="9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</row>
    <row r="3093" spans="5:30" ht="15">
      <c r="E3093" s="9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</row>
    <row r="3094" spans="5:30" ht="15">
      <c r="E3094" s="9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</row>
    <row r="3095" spans="5:30" ht="15">
      <c r="E3095" s="9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</row>
    <row r="3096" spans="5:30" ht="15">
      <c r="E3096" s="9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</row>
    <row r="3097" spans="5:30" ht="15">
      <c r="E3097" s="9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</row>
    <row r="3098" spans="5:30" ht="15">
      <c r="E3098" s="9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</row>
    <row r="3099" spans="5:30" ht="15">
      <c r="E3099" s="9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</row>
    <row r="3100" spans="5:30" ht="15">
      <c r="E3100" s="9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</row>
    <row r="3101" spans="5:30" ht="15">
      <c r="E3101" s="9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</row>
    <row r="3102" spans="5:30" ht="15">
      <c r="E3102" s="9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</row>
    <row r="3103" spans="5:30" ht="15">
      <c r="E3103" s="9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</row>
    <row r="3104" spans="5:30" ht="15">
      <c r="E3104" s="9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</row>
    <row r="3105" spans="5:30" ht="15">
      <c r="E3105" s="9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</row>
    <row r="3106" spans="5:30" ht="15">
      <c r="E3106" s="9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</row>
    <row r="3107" spans="5:30" ht="15">
      <c r="E3107" s="9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</row>
    <row r="3108" spans="5:30" ht="15">
      <c r="E3108" s="9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</row>
    <row r="3109" spans="5:30" ht="15">
      <c r="E3109" s="9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</row>
    <row r="3110" spans="5:30" ht="15">
      <c r="E3110" s="9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</row>
    <row r="3111" spans="5:30" ht="15">
      <c r="E3111" s="9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</row>
    <row r="3112" spans="5:30" ht="15">
      <c r="E3112" s="9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</row>
    <row r="3113" spans="5:30" ht="15">
      <c r="E3113" s="9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</row>
    <row r="3114" spans="5:30" ht="15">
      <c r="E3114" s="9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</row>
    <row r="3115" spans="5:30" ht="15">
      <c r="E3115" s="9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</row>
    <row r="3116" spans="5:30" ht="15">
      <c r="E3116" s="9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</row>
    <row r="3117" spans="5:30" ht="15">
      <c r="E3117" s="9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</row>
    <row r="3118" spans="5:30" ht="15">
      <c r="E3118" s="9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</row>
    <row r="3119" spans="5:30" ht="15">
      <c r="E3119" s="9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</row>
    <row r="3120" spans="5:30" ht="15">
      <c r="E3120" s="9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</row>
    <row r="3121" spans="5:30" ht="15">
      <c r="E3121" s="9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</row>
    <row r="3122" spans="5:30" ht="15">
      <c r="E3122" s="9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</row>
    <row r="3123" spans="5:30" ht="15">
      <c r="E3123" s="9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</row>
    <row r="3124" spans="5:30" ht="15">
      <c r="E3124" s="9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</row>
    <row r="3125" spans="5:30" ht="15">
      <c r="E3125" s="9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</row>
    <row r="3126" spans="5:30" ht="15">
      <c r="E3126" s="9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</row>
    <row r="3127" spans="5:30" ht="15">
      <c r="E3127" s="9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</row>
    <row r="3128" spans="5:30" ht="15">
      <c r="E3128" s="9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</row>
    <row r="3129" spans="5:30" ht="15">
      <c r="E3129" s="9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</row>
    <row r="3130" spans="5:30" ht="15">
      <c r="E3130" s="9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</row>
    <row r="3131" spans="5:30" ht="15">
      <c r="E3131" s="9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</row>
    <row r="3132" spans="5:30" ht="15">
      <c r="E3132" s="9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</row>
    <row r="3133" spans="5:30" ht="15">
      <c r="E3133" s="9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</row>
    <row r="3134" spans="5:30" ht="15">
      <c r="E3134" s="9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</row>
    <row r="3135" spans="5:30" ht="15">
      <c r="E3135" s="9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</row>
    <row r="3136" spans="5:30" ht="15">
      <c r="E3136" s="9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</row>
    <row r="3137" spans="5:30" ht="15">
      <c r="E3137" s="9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</row>
    <row r="3138" spans="5:30" ht="15">
      <c r="E3138" s="9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</row>
    <row r="3139" spans="5:30" ht="15">
      <c r="E3139" s="9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</row>
    <row r="3140" spans="5:30" ht="15">
      <c r="E3140" s="9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</row>
    <row r="3141" spans="5:30" ht="15">
      <c r="E3141" s="9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</row>
    <row r="3142" spans="5:30" ht="15">
      <c r="E3142" s="9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</row>
    <row r="3143" spans="5:30" ht="15">
      <c r="E3143" s="9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</row>
    <row r="3144" spans="5:30" ht="15">
      <c r="E3144" s="9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</row>
    <row r="3145" spans="5:30" ht="15">
      <c r="E3145" s="9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</row>
    <row r="3146" spans="5:30" ht="15">
      <c r="E3146" s="9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</row>
    <row r="3147" spans="5:30" ht="15">
      <c r="E3147" s="9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</row>
    <row r="3148" spans="5:30" ht="15">
      <c r="E3148" s="9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</row>
    <row r="3149" spans="5:30" ht="15">
      <c r="E3149" s="9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</row>
    <row r="3150" spans="5:30" ht="15">
      <c r="E3150" s="9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</row>
    <row r="3151" spans="5:30" ht="15">
      <c r="E3151" s="9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</row>
    <row r="3152" spans="5:30" ht="15">
      <c r="E3152" s="9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</row>
    <row r="3153" spans="5:30" ht="15">
      <c r="E3153" s="9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</row>
    <row r="3154" spans="5:30" ht="15">
      <c r="E3154" s="9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</row>
    <row r="3155" spans="5:30" ht="15">
      <c r="E3155" s="9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</row>
    <row r="3156" spans="5:30" ht="15">
      <c r="E3156" s="9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</row>
    <row r="3157" spans="5:30" ht="15">
      <c r="E3157" s="9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</row>
    <row r="3158" spans="5:30" ht="15">
      <c r="E3158" s="9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</row>
    <row r="3159" spans="5:30" ht="15">
      <c r="E3159" s="9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</row>
    <row r="3160" spans="5:30" ht="15">
      <c r="E3160" s="9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</row>
    <row r="3161" spans="5:30" ht="15">
      <c r="E3161" s="9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</row>
    <row r="3162" spans="5:30" ht="15">
      <c r="E3162" s="9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</row>
    <row r="3163" spans="5:30" ht="15">
      <c r="E3163" s="9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</row>
    <row r="3164" spans="5:30" ht="15">
      <c r="E3164" s="9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</row>
    <row r="3165" spans="5:30" ht="15">
      <c r="E3165" s="9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</row>
    <row r="3166" spans="5:30" ht="15">
      <c r="E3166" s="9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</row>
    <row r="3167" spans="5:30" ht="15">
      <c r="E3167" s="9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</row>
    <row r="3168" spans="5:30" ht="15">
      <c r="E3168" s="9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</row>
    <row r="3169" spans="5:30" ht="15">
      <c r="E3169" s="9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</row>
    <row r="3170" spans="5:30" ht="15">
      <c r="E3170" s="9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</row>
    <row r="3171" spans="5:30" ht="15">
      <c r="E3171" s="9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</row>
    <row r="3172" spans="5:30" ht="15">
      <c r="E3172" s="9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</row>
    <row r="3173" spans="5:30" ht="15">
      <c r="E3173" s="9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</row>
    <row r="3174" spans="5:30" ht="15">
      <c r="E3174" s="9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</row>
    <row r="3175" spans="5:30" ht="15">
      <c r="E3175" s="9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</row>
    <row r="3176" spans="5:30" ht="15">
      <c r="E3176" s="9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</row>
    <row r="3177" spans="5:30" ht="15">
      <c r="E3177" s="9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</row>
    <row r="3178" spans="5:30" ht="15">
      <c r="E3178" s="9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</row>
    <row r="3179" spans="5:30" ht="15">
      <c r="E3179" s="9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</row>
    <row r="3180" spans="5:30" ht="15">
      <c r="E3180" s="9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</row>
    <row r="3181" spans="5:30" ht="15">
      <c r="E3181" s="9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</row>
    <row r="3182" spans="5:30" ht="15">
      <c r="E3182" s="9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</row>
    <row r="3183" spans="5:30" ht="15">
      <c r="E3183" s="9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</row>
    <row r="3184" spans="5:30" ht="15">
      <c r="E3184" s="9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</row>
    <row r="3185" spans="5:30" ht="15">
      <c r="E3185" s="9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</row>
    <row r="3186" spans="5:30" ht="15">
      <c r="E3186" s="9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</row>
    <row r="3187" spans="5:30" ht="15">
      <c r="E3187" s="9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</row>
    <row r="3188" spans="5:30" ht="15">
      <c r="E3188" s="9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</row>
    <row r="3189" spans="5:30" ht="15">
      <c r="E3189" s="9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</row>
    <row r="3190" spans="5:30" ht="15">
      <c r="E3190" s="9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</row>
    <row r="3191" spans="5:30" ht="15">
      <c r="E3191" s="9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</row>
    <row r="3192" spans="5:30" ht="15">
      <c r="E3192" s="9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</row>
    <row r="3193" spans="5:30" ht="15">
      <c r="E3193" s="9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</row>
    <row r="3194" spans="5:30" ht="15">
      <c r="E3194" s="9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</row>
    <row r="3195" spans="5:30" ht="15">
      <c r="E3195" s="9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</row>
    <row r="3196" spans="5:30" ht="15">
      <c r="E3196" s="9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</row>
    <row r="3197" spans="5:30" ht="15">
      <c r="E3197" s="9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</row>
    <row r="3198" spans="5:30" ht="15">
      <c r="E3198" s="9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</row>
    <row r="3199" spans="5:30" ht="15">
      <c r="E3199" s="9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</row>
    <row r="3200" spans="5:30" ht="15">
      <c r="E3200" s="9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</row>
    <row r="3201" spans="5:30" ht="15">
      <c r="E3201" s="9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</row>
    <row r="3202" spans="5:30" ht="15">
      <c r="E3202" s="9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</row>
    <row r="3203" spans="5:30" ht="15">
      <c r="E3203" s="9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</row>
    <row r="3204" spans="5:30" ht="15">
      <c r="E3204" s="9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</row>
    <row r="3205" spans="5:30" ht="15">
      <c r="E3205" s="9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</row>
    <row r="3206" spans="5:30" ht="15">
      <c r="E3206" s="9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</row>
    <row r="3207" spans="5:30" ht="15">
      <c r="E3207" s="9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</row>
    <row r="3208" spans="5:30" ht="15">
      <c r="E3208" s="9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</row>
    <row r="3209" spans="5:30" ht="15">
      <c r="E3209" s="9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</row>
    <row r="3210" spans="5:30" ht="15">
      <c r="E3210" s="9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</row>
    <row r="3211" spans="5:30" ht="15">
      <c r="E3211" s="9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</row>
    <row r="3212" spans="5:30" ht="15">
      <c r="E3212" s="9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</row>
    <row r="3213" spans="5:30" ht="15">
      <c r="E3213" s="9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</row>
    <row r="3214" spans="5:30" ht="15">
      <c r="E3214" s="9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</row>
    <row r="3215" spans="5:30" ht="15">
      <c r="E3215" s="9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</row>
    <row r="3216" spans="5:30" ht="15">
      <c r="E3216" s="9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</row>
    <row r="3217" spans="5:30" ht="15">
      <c r="E3217" s="9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</row>
    <row r="3218" spans="5:30" ht="15">
      <c r="E3218" s="9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</row>
    <row r="3219" spans="5:30" ht="15">
      <c r="E3219" s="9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</row>
    <row r="3220" spans="5:30" ht="15">
      <c r="E3220" s="9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</row>
    <row r="3221" spans="5:30" ht="15">
      <c r="E3221" s="9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</row>
    <row r="3222" spans="5:30" ht="15">
      <c r="E3222" s="9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</row>
    <row r="3223" spans="5:30" ht="15">
      <c r="E3223" s="9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</row>
    <row r="3224" spans="5:30" ht="15">
      <c r="E3224" s="9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</row>
    <row r="3225" spans="5:30" ht="15">
      <c r="E3225" s="9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</row>
    <row r="3226" spans="5:30" ht="15">
      <c r="E3226" s="9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</row>
    <row r="3227" spans="5:30" ht="15">
      <c r="E3227" s="9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</row>
    <row r="3228" spans="5:30" ht="15">
      <c r="E3228" s="9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</row>
    <row r="3229" spans="5:30" ht="15">
      <c r="E3229" s="9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</row>
    <row r="3230" spans="5:30" ht="15">
      <c r="E3230" s="9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</row>
    <row r="3231" spans="5:30" ht="15">
      <c r="E3231" s="9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</row>
    <row r="3232" spans="5:30" ht="15">
      <c r="E3232" s="9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</row>
    <row r="3233" spans="5:30" ht="15">
      <c r="E3233" s="9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</row>
    <row r="3234" spans="5:30" ht="15">
      <c r="E3234" s="9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</row>
    <row r="3235" spans="5:30" ht="15">
      <c r="E3235" s="9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</row>
    <row r="3236" spans="5:30" ht="15">
      <c r="E3236" s="9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</row>
    <row r="3237" spans="5:30" ht="15">
      <c r="E3237" s="9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</row>
    <row r="3238" spans="5:30" ht="15">
      <c r="E3238" s="9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</row>
    <row r="3239" spans="5:30" ht="15">
      <c r="E3239" s="9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</row>
    <row r="3240" spans="5:30" ht="15">
      <c r="E3240" s="9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</row>
    <row r="3241" spans="5:30" ht="15">
      <c r="E3241" s="9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</row>
    <row r="3242" spans="5:30" ht="15">
      <c r="E3242" s="9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</row>
    <row r="3243" spans="5:30" ht="15">
      <c r="E3243" s="9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</row>
    <row r="3244" spans="5:30" ht="15">
      <c r="E3244" s="9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</row>
    <row r="3245" spans="5:30" ht="15">
      <c r="E3245" s="9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</row>
    <row r="3246" spans="5:30" ht="15">
      <c r="E3246" s="9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</row>
    <row r="3247" spans="5:30" ht="15">
      <c r="E3247" s="9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</row>
    <row r="3248" spans="5:30" ht="15">
      <c r="E3248" s="9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</row>
    <row r="3249" spans="5:30" ht="15">
      <c r="E3249" s="9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</row>
    <row r="3250" spans="5:30" ht="15">
      <c r="E3250" s="9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</row>
    <row r="3251" spans="5:30" ht="15">
      <c r="E3251" s="9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</row>
    <row r="3252" spans="5:30" ht="15">
      <c r="E3252" s="9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</row>
    <row r="3253" spans="5:30" ht="15">
      <c r="E3253" s="9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</row>
    <row r="3254" spans="5:30" ht="15">
      <c r="E3254" s="9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</row>
    <row r="3255" spans="5:30" ht="15">
      <c r="E3255" s="9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</row>
    <row r="3256" spans="5:30" ht="15">
      <c r="E3256" s="9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</row>
    <row r="3257" spans="5:30" ht="15">
      <c r="E3257" s="9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</row>
    <row r="3258" spans="5:30" ht="15">
      <c r="E3258" s="9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</row>
    <row r="3259" spans="5:30" ht="15">
      <c r="E3259" s="9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</row>
    <row r="3260" spans="5:30" ht="15">
      <c r="E3260" s="9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</row>
    <row r="3261" spans="5:30" ht="15">
      <c r="E3261" s="9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</row>
    <row r="3262" spans="5:30" ht="15">
      <c r="E3262" s="9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</row>
    <row r="3263" spans="5:30" ht="15">
      <c r="E3263" s="9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</row>
    <row r="3264" spans="5:30" ht="15">
      <c r="E3264" s="9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</row>
    <row r="3265" spans="5:30" ht="15">
      <c r="E3265" s="9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</row>
    <row r="3266" spans="5:30" ht="15">
      <c r="E3266" s="9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</row>
    <row r="3267" spans="5:30" ht="15">
      <c r="E3267" s="9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</row>
    <row r="3268" spans="5:30" ht="15">
      <c r="E3268" s="9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</row>
    <row r="3269" spans="5:30" ht="15">
      <c r="E3269" s="9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</row>
    <row r="3270" spans="5:30" ht="15">
      <c r="E3270" s="9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</row>
    <row r="3271" spans="5:30" ht="15">
      <c r="E3271" s="9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</row>
    <row r="3272" spans="5:30" ht="15">
      <c r="E3272" s="9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</row>
    <row r="3273" spans="5:30" ht="15">
      <c r="E3273" s="9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</row>
    <row r="3274" spans="5:30" ht="15">
      <c r="E3274" s="9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</row>
    <row r="3275" spans="5:30" ht="15">
      <c r="E3275" s="9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</row>
    <row r="3276" spans="5:30" ht="15">
      <c r="E3276" s="9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</row>
    <row r="3277" spans="5:30" ht="15">
      <c r="E3277" s="9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</row>
    <row r="3278" spans="5:30" ht="15">
      <c r="E3278" s="9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</row>
    <row r="3279" spans="5:30" ht="15">
      <c r="E3279" s="9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</row>
    <row r="3280" spans="5:30" ht="15">
      <c r="E3280" s="9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</row>
    <row r="3281" spans="5:30" ht="15">
      <c r="E3281" s="9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</row>
    <row r="3282" spans="5:30" ht="15">
      <c r="E3282" s="9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</row>
    <row r="3283" spans="5:30" ht="15">
      <c r="E3283" s="9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</row>
    <row r="3284" spans="5:30" ht="15">
      <c r="E3284" s="9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</row>
    <row r="3285" spans="5:30" ht="15">
      <c r="E3285" s="9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</row>
    <row r="3286" spans="5:30" ht="15">
      <c r="E3286" s="9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</row>
    <row r="3287" spans="5:30" ht="15">
      <c r="E3287" s="9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</row>
    <row r="3288" spans="5:30" ht="15">
      <c r="E3288" s="9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</row>
    <row r="3289" spans="5:30" ht="15">
      <c r="E3289" s="9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</row>
    <row r="3290" spans="5:30" ht="15">
      <c r="E3290" s="9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</row>
    <row r="3291" spans="5:30" ht="15">
      <c r="E3291" s="9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</row>
    <row r="3292" spans="5:30" ht="15">
      <c r="E3292" s="9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</row>
    <row r="3293" spans="5:30" ht="15">
      <c r="E3293" s="9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</row>
    <row r="3294" spans="5:30" ht="15">
      <c r="E3294" s="9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</row>
    <row r="3295" spans="5:30" ht="15">
      <c r="E3295" s="9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</row>
    <row r="3296" spans="5:30" ht="15">
      <c r="E3296" s="9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</row>
    <row r="3297" spans="5:30" ht="15">
      <c r="E3297" s="9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</row>
    <row r="3298" spans="5:30" ht="15">
      <c r="E3298" s="9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</row>
    <row r="3299" spans="5:30" ht="15">
      <c r="E3299" s="9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</row>
    <row r="3300" spans="5:30" ht="15">
      <c r="E3300" s="9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</row>
    <row r="3301" spans="5:30" ht="15">
      <c r="E3301" s="9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</row>
    <row r="3302" spans="5:30" ht="15">
      <c r="E3302" s="9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</row>
    <row r="3303" spans="5:30" ht="15">
      <c r="E3303" s="9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</row>
    <row r="3304" spans="5:30" ht="15">
      <c r="E3304" s="9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</row>
    <row r="3305" spans="5:30" ht="15">
      <c r="E3305" s="9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</row>
    <row r="3306" spans="5:30" ht="15">
      <c r="E3306" s="9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</row>
    <row r="3307" spans="5:30" ht="15">
      <c r="E3307" s="9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</row>
    <row r="3308" spans="5:30" ht="15">
      <c r="E3308" s="9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</row>
    <row r="3309" spans="5:30" ht="15">
      <c r="E3309" s="9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</row>
    <row r="3310" spans="5:30" ht="15">
      <c r="E3310" s="9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</row>
    <row r="3311" spans="5:30" ht="15">
      <c r="E3311" s="9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</row>
    <row r="3312" spans="5:30" ht="15">
      <c r="E3312" s="9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</row>
    <row r="3313" spans="5:30" ht="15">
      <c r="E3313" s="9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</row>
    <row r="3314" spans="5:30" ht="15">
      <c r="E3314" s="9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</row>
    <row r="3315" spans="5:30" ht="15">
      <c r="E3315" s="9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</row>
    <row r="3316" spans="5:30" ht="15">
      <c r="E3316" s="9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</row>
    <row r="3317" spans="5:30" ht="15">
      <c r="E3317" s="9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</row>
    <row r="3318" spans="5:30" ht="15">
      <c r="E3318" s="9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</row>
    <row r="3319" spans="5:30" ht="15">
      <c r="E3319" s="9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</row>
    <row r="3320" spans="5:30" ht="15">
      <c r="E3320" s="9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</row>
    <row r="3321" spans="5:30" ht="15">
      <c r="E3321" s="9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</row>
    <row r="3322" spans="5:30" ht="15">
      <c r="E3322" s="9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</row>
    <row r="3323" spans="5:30" ht="15">
      <c r="E3323" s="9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</row>
    <row r="3324" spans="5:30" ht="15">
      <c r="E3324" s="9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</row>
    <row r="3325" spans="5:30" ht="15">
      <c r="E3325" s="9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</row>
    <row r="3326" spans="5:30" ht="15">
      <c r="E3326" s="9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</row>
    <row r="3327" spans="5:30" ht="15">
      <c r="E3327" s="9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</row>
    <row r="3328" spans="5:30" ht="15">
      <c r="E3328" s="9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</row>
    <row r="3329" spans="5:30" ht="15">
      <c r="E3329" s="9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</row>
    <row r="3330" spans="5:30" ht="15">
      <c r="E3330" s="9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</row>
    <row r="3331" spans="5:30" ht="15">
      <c r="E3331" s="9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</row>
    <row r="3332" spans="5:30" ht="15">
      <c r="E3332" s="9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</row>
    <row r="3333" spans="5:30" ht="15">
      <c r="E3333" s="9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</row>
    <row r="3334" spans="5:30" ht="15">
      <c r="E3334" s="9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</row>
    <row r="3335" spans="5:30" ht="15">
      <c r="E3335" s="9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</row>
    <row r="3336" spans="5:30" ht="15">
      <c r="E3336" s="9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</row>
    <row r="3337" spans="5:30" ht="15">
      <c r="E3337" s="9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</row>
    <row r="3338" spans="5:30" ht="15">
      <c r="E3338" s="9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</row>
    <row r="3339" spans="5:30" ht="15">
      <c r="E3339" s="9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</row>
    <row r="3340" spans="5:30" ht="15">
      <c r="E3340" s="9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</row>
    <row r="3341" spans="5:30" ht="15">
      <c r="E3341" s="9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</row>
    <row r="3342" spans="5:30" ht="15">
      <c r="E3342" s="9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</row>
    <row r="3343" spans="5:30" ht="15">
      <c r="E3343" s="9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</row>
    <row r="3344" spans="5:30" ht="15">
      <c r="E3344" s="9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</row>
    <row r="3345" spans="5:30" ht="15">
      <c r="E3345" s="9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</row>
    <row r="3346" spans="5:30" ht="15">
      <c r="E3346" s="9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</row>
    <row r="3347" spans="5:30" ht="15">
      <c r="E3347" s="9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</row>
    <row r="3348" spans="5:30" ht="15">
      <c r="E3348" s="9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</row>
    <row r="3349" spans="5:30" ht="15">
      <c r="E3349" s="9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</row>
    <row r="3350" spans="5:30" ht="15">
      <c r="E3350" s="9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</row>
    <row r="3351" spans="5:30" ht="15">
      <c r="E3351" s="9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</row>
    <row r="3352" spans="5:30" ht="15">
      <c r="E3352" s="9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</row>
    <row r="3353" spans="5:30" ht="15">
      <c r="E3353" s="9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</row>
    <row r="3354" spans="5:30" ht="15">
      <c r="E3354" s="9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</row>
    <row r="3355" spans="5:30" ht="15">
      <c r="E3355" s="9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</row>
    <row r="3356" spans="5:30" ht="15">
      <c r="E3356" s="9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</row>
    <row r="3357" spans="5:30" ht="15">
      <c r="E3357" s="9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</row>
    <row r="3358" spans="5:30" ht="15">
      <c r="E3358" s="9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</row>
    <row r="3359" spans="5:30" ht="15">
      <c r="E3359" s="9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</row>
    <row r="3360" spans="5:30" ht="15">
      <c r="E3360" s="9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</row>
    <row r="3361" spans="5:30" ht="15">
      <c r="E3361" s="9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</row>
    <row r="3362" spans="5:30" ht="15">
      <c r="E3362" s="9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</row>
    <row r="3363" spans="5:30" ht="15">
      <c r="E3363" s="9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</row>
    <row r="3364" spans="5:30" ht="15">
      <c r="E3364" s="9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</row>
    <row r="3365" spans="5:30" ht="15">
      <c r="E3365" s="9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</row>
    <row r="3366" spans="5:30" ht="15">
      <c r="E3366" s="9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</row>
    <row r="3367" spans="5:30" ht="15">
      <c r="E3367" s="9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</row>
    <row r="3368" spans="5:30" ht="15">
      <c r="E3368" s="9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</row>
    <row r="3369" spans="5:30" ht="15">
      <c r="E3369" s="9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</row>
    <row r="3370" spans="5:30" ht="15">
      <c r="E3370" s="9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</row>
    <row r="3371" spans="5:30" ht="15">
      <c r="E3371" s="9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</row>
    <row r="3372" spans="5:30" ht="15">
      <c r="E3372" s="9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</row>
    <row r="3373" spans="5:30" ht="15">
      <c r="E3373" s="9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</row>
    <row r="3374" spans="5:30" ht="15">
      <c r="E3374" s="9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</row>
    <row r="3375" spans="5:30" ht="15">
      <c r="E3375" s="9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</row>
    <row r="3376" spans="5:30" ht="15">
      <c r="E3376" s="9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</row>
    <row r="3377" spans="5:30" ht="15">
      <c r="E3377" s="9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</row>
    <row r="3378" spans="5:30" ht="15">
      <c r="E3378" s="9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</row>
    <row r="3379" spans="5:30" ht="15">
      <c r="E3379" s="9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</row>
    <row r="3380" spans="5:30" ht="15">
      <c r="E3380" s="9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</row>
    <row r="3381" spans="5:30" ht="15">
      <c r="E3381" s="9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</row>
    <row r="3382" spans="5:30" ht="15">
      <c r="E3382" s="9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</row>
    <row r="3383" spans="5:30" ht="15">
      <c r="E3383" s="9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</row>
    <row r="3384" spans="5:30" ht="15">
      <c r="E3384" s="9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</row>
    <row r="3385" spans="5:30" ht="15">
      <c r="E3385" s="9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</row>
    <row r="3386" spans="5:30" ht="15">
      <c r="E3386" s="9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</row>
    <row r="3387" spans="5:30" ht="15">
      <c r="E3387" s="9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</row>
    <row r="3388" spans="5:30" ht="15">
      <c r="E3388" s="9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</row>
    <row r="3389" spans="5:30" ht="15">
      <c r="E3389" s="9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</row>
    <row r="3390" spans="5:30" ht="15">
      <c r="E3390" s="9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</row>
    <row r="3391" spans="5:30" ht="15">
      <c r="E3391" s="9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</row>
    <row r="3392" spans="5:30" ht="15">
      <c r="E3392" s="9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</row>
    <row r="3393" spans="5:30" ht="15">
      <c r="E3393" s="9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</row>
    <row r="3394" spans="5:30" ht="15">
      <c r="E3394" s="9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</row>
    <row r="3395" spans="5:30" ht="15">
      <c r="E3395" s="9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</row>
    <row r="3396" spans="5:30" ht="15">
      <c r="E3396" s="9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</row>
    <row r="3397" spans="5:30" ht="15">
      <c r="E3397" s="9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</row>
    <row r="3398" spans="5:30" ht="15">
      <c r="E3398" s="9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</row>
    <row r="3399" spans="5:30" ht="15">
      <c r="E3399" s="9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</row>
    <row r="3400" spans="5:30" ht="15">
      <c r="E3400" s="9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</row>
    <row r="3401" spans="5:30" ht="15">
      <c r="E3401" s="9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</row>
    <row r="3402" spans="5:30" ht="15">
      <c r="E3402" s="9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</row>
    <row r="3403" spans="5:30" ht="15">
      <c r="E3403" s="9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</row>
    <row r="3404" spans="5:30" ht="15">
      <c r="E3404" s="9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</row>
    <row r="3405" spans="5:30" ht="15">
      <c r="E3405" s="9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</row>
    <row r="3406" spans="5:30" ht="15">
      <c r="E3406" s="9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</row>
    <row r="3407" spans="5:30" ht="15">
      <c r="E3407" s="9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</row>
    <row r="3408" spans="5:30" ht="15">
      <c r="E3408" s="9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</row>
    <row r="3409" spans="5:30" ht="15">
      <c r="E3409" s="9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</row>
    <row r="3410" spans="5:30" ht="15">
      <c r="E3410" s="9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</row>
    <row r="3411" spans="5:30" ht="15">
      <c r="E3411" s="9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</row>
    <row r="3412" spans="5:30" ht="15">
      <c r="E3412" s="9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</row>
    <row r="3413" spans="5:30" ht="15">
      <c r="E3413" s="9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</row>
    <row r="3414" spans="5:30" ht="15">
      <c r="E3414" s="9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</row>
    <row r="3415" spans="5:30" ht="15">
      <c r="E3415" s="9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</row>
    <row r="3416" spans="5:30" ht="15">
      <c r="E3416" s="9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</row>
    <row r="3417" spans="5:30" ht="15">
      <c r="E3417" s="9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</row>
    <row r="3418" spans="5:30" ht="15">
      <c r="E3418" s="9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</row>
    <row r="3419" spans="5:30" ht="15">
      <c r="E3419" s="9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</row>
    <row r="3420" spans="5:30" ht="15">
      <c r="E3420" s="9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</row>
    <row r="3421" spans="5:30" ht="15">
      <c r="E3421" s="9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</row>
    <row r="3422" spans="5:30" ht="15">
      <c r="E3422" s="9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</row>
    <row r="3423" spans="5:30" ht="15">
      <c r="E3423" s="9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</row>
    <row r="3424" spans="5:30" ht="15">
      <c r="E3424" s="9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</row>
    <row r="3425" spans="5:30" ht="15">
      <c r="E3425" s="9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</row>
    <row r="3426" spans="5:30" ht="15">
      <c r="E3426" s="9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</row>
    <row r="3427" spans="5:30" ht="15">
      <c r="E3427" s="9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</row>
    <row r="3428" spans="5:30" ht="15">
      <c r="E3428" s="9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</row>
    <row r="3429" spans="5:30" ht="15">
      <c r="E3429" s="9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</row>
    <row r="3430" spans="5:30" ht="15">
      <c r="E3430" s="9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</row>
    <row r="3431" spans="5:30" ht="15">
      <c r="E3431" s="9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</row>
    <row r="3432" spans="5:30" ht="15">
      <c r="E3432" s="9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</row>
    <row r="3433" spans="5:30" ht="15">
      <c r="E3433" s="9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</row>
    <row r="3434" spans="5:30" ht="15">
      <c r="E3434" s="9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</row>
    <row r="3435" spans="5:30" ht="15">
      <c r="E3435" s="9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</row>
    <row r="3436" spans="5:30" ht="15">
      <c r="E3436" s="9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</row>
    <row r="3437" spans="5:30" ht="15">
      <c r="E3437" s="9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</row>
    <row r="3438" spans="5:30" ht="15">
      <c r="E3438" s="9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</row>
    <row r="3439" spans="5:30" ht="15">
      <c r="E3439" s="9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</row>
    <row r="3440" spans="5:30" ht="15">
      <c r="E3440" s="9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</row>
    <row r="3441" spans="5:30" ht="15">
      <c r="E3441" s="9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</row>
    <row r="3442" spans="5:30" ht="15">
      <c r="E3442" s="9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</row>
    <row r="3443" spans="5:30" ht="15">
      <c r="E3443" s="9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</row>
    <row r="3444" spans="5:30" ht="15">
      <c r="E3444" s="9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</row>
    <row r="3445" spans="5:30" ht="15">
      <c r="E3445" s="9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</row>
    <row r="3446" spans="5:30" ht="15">
      <c r="E3446" s="9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</row>
    <row r="3447" spans="5:30" ht="15">
      <c r="E3447" s="9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</row>
    <row r="3448" spans="5:30" ht="15">
      <c r="E3448" s="9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</row>
    <row r="3449" spans="5:30" ht="15">
      <c r="E3449" s="9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</row>
    <row r="3450" spans="5:30" ht="15">
      <c r="E3450" s="9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</row>
    <row r="3451" spans="5:30" ht="15">
      <c r="E3451" s="9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</row>
    <row r="3452" spans="5:30" ht="15">
      <c r="E3452" s="9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</row>
    <row r="3453" spans="5:30" ht="15">
      <c r="E3453" s="9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</row>
    <row r="3454" spans="5:30" ht="15">
      <c r="E3454" s="9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</row>
    <row r="3455" spans="5:30" ht="15">
      <c r="E3455" s="9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</row>
    <row r="3456" spans="5:30" ht="15">
      <c r="E3456" s="9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</row>
    <row r="3457" spans="5:30" ht="15">
      <c r="E3457" s="9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</row>
    <row r="3458" spans="5:30" ht="15">
      <c r="E3458" s="9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</row>
    <row r="3459" spans="5:30" ht="15">
      <c r="E3459" s="9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</row>
    <row r="3460" spans="5:30" ht="15">
      <c r="E3460" s="9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</row>
    <row r="3461" spans="5:30" ht="15">
      <c r="E3461" s="9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</row>
    <row r="3462" spans="5:30" ht="15">
      <c r="E3462" s="9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</row>
    <row r="3463" spans="5:30" ht="15">
      <c r="E3463" s="9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</row>
    <row r="3464" spans="5:30" ht="15">
      <c r="E3464" s="9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</row>
    <row r="3465" spans="5:30" ht="15">
      <c r="E3465" s="9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</row>
    <row r="3466" spans="5:30" ht="15">
      <c r="E3466" s="9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</row>
    <row r="3467" spans="5:30" ht="15">
      <c r="E3467" s="9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</row>
    <row r="3468" spans="5:30" ht="15">
      <c r="E3468" s="9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</row>
    <row r="3469" spans="5:30" ht="15">
      <c r="E3469" s="9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</row>
    <row r="3470" spans="5:30" ht="15">
      <c r="E3470" s="9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</row>
    <row r="3471" spans="5:30" ht="15">
      <c r="E3471" s="9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</row>
    <row r="3472" spans="5:30" ht="15">
      <c r="E3472" s="9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</row>
    <row r="3473" spans="5:30" ht="15">
      <c r="E3473" s="9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</row>
    <row r="3474" spans="5:30" ht="15">
      <c r="E3474" s="9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</row>
    <row r="3475" spans="5:30" ht="15">
      <c r="E3475" s="9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</row>
    <row r="3476" spans="5:30" ht="15">
      <c r="E3476" s="9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</row>
    <row r="3477" spans="5:30" ht="15">
      <c r="E3477" s="9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</row>
    <row r="3478" spans="5:30" ht="15">
      <c r="E3478" s="9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</row>
    <row r="3479" spans="5:30" ht="15">
      <c r="E3479" s="9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</row>
    <row r="3480" spans="5:30" ht="15">
      <c r="E3480" s="9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</row>
    <row r="3481" spans="5:30" ht="15">
      <c r="E3481" s="9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</row>
    <row r="3482" spans="5:30" ht="15">
      <c r="E3482" s="9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</row>
    <row r="3483" spans="5:30" ht="15">
      <c r="E3483" s="9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</row>
    <row r="3484" spans="5:30" ht="15">
      <c r="E3484" s="9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</row>
    <row r="3485" spans="5:30" ht="15">
      <c r="E3485" s="9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</row>
    <row r="3486" spans="5:30" ht="15">
      <c r="E3486" s="9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</row>
    <row r="3487" spans="5:30" ht="15">
      <c r="E3487" s="9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</row>
    <row r="3488" spans="5:30" ht="15">
      <c r="E3488" s="9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</row>
    <row r="3489" spans="5:30" ht="15">
      <c r="E3489" s="9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</row>
    <row r="3490" spans="5:30" ht="15">
      <c r="E3490" s="9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</row>
    <row r="3491" spans="5:30" ht="15">
      <c r="E3491" s="9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</row>
    <row r="3492" spans="5:30" ht="15">
      <c r="E3492" s="9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</row>
    <row r="3493" spans="5:30" ht="15">
      <c r="E3493" s="9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</row>
    <row r="3494" spans="5:30" ht="15">
      <c r="E3494" s="9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</row>
    <row r="3495" spans="5:30" ht="15">
      <c r="E3495" s="9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</row>
    <row r="3496" spans="5:30" ht="15">
      <c r="E3496" s="9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</row>
    <row r="3497" spans="5:30" ht="15">
      <c r="E3497" s="9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</row>
    <row r="3498" spans="5:30" ht="15">
      <c r="E3498" s="9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</row>
    <row r="3499" spans="5:30" ht="15">
      <c r="E3499" s="9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</row>
    <row r="3500" spans="5:30" ht="15">
      <c r="E3500" s="9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</row>
    <row r="3501" spans="5:30" ht="15">
      <c r="E3501" s="9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</row>
    <row r="3502" spans="5:30" ht="15">
      <c r="E3502" s="9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</row>
    <row r="3503" spans="5:30" ht="15">
      <c r="E3503" s="9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</row>
    <row r="3504" spans="5:30" ht="15">
      <c r="E3504" s="9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</row>
    <row r="3505" spans="5:30" ht="15">
      <c r="E3505" s="9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</row>
    <row r="3506" spans="5:30" ht="15">
      <c r="E3506" s="9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</row>
    <row r="3507" spans="5:30" ht="15">
      <c r="E3507" s="9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</row>
    <row r="3508" spans="5:30" ht="15">
      <c r="E3508" s="9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</row>
    <row r="3509" spans="5:30" ht="15">
      <c r="E3509" s="9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</row>
    <row r="3510" spans="5:30" ht="15">
      <c r="E3510" s="9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</row>
    <row r="3511" spans="5:30" ht="15">
      <c r="E3511" s="9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</row>
    <row r="3512" spans="5:30" ht="15">
      <c r="E3512" s="9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</row>
    <row r="3513" spans="5:30" ht="15">
      <c r="E3513" s="9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</row>
    <row r="3514" spans="5:30" ht="15">
      <c r="E3514" s="9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</row>
    <row r="3515" spans="5:30" ht="15">
      <c r="E3515" s="9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</row>
    <row r="3516" spans="5:30" ht="15">
      <c r="E3516" s="9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</row>
    <row r="3517" spans="5:30" ht="15">
      <c r="E3517" s="9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</row>
    <row r="3518" spans="5:30" ht="15">
      <c r="E3518" s="9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</row>
    <row r="3519" spans="5:30" ht="15">
      <c r="E3519" s="9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</row>
    <row r="3520" spans="5:30" ht="15">
      <c r="E3520" s="9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</row>
    <row r="3521" spans="5:30" ht="15">
      <c r="E3521" s="9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</row>
    <row r="3522" spans="5:30" ht="15">
      <c r="E3522" s="9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</row>
    <row r="3523" spans="5:30" ht="15">
      <c r="E3523" s="9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</row>
    <row r="3524" spans="5:30" ht="15">
      <c r="E3524" s="9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</row>
    <row r="3525" spans="5:30" ht="15">
      <c r="E3525" s="9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</row>
    <row r="3526" spans="5:30" ht="15">
      <c r="E3526" s="9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</row>
    <row r="3527" spans="5:30" ht="15">
      <c r="E3527" s="9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</row>
    <row r="3528" spans="5:30" ht="15">
      <c r="E3528" s="9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</row>
    <row r="3529" spans="5:30" ht="15">
      <c r="E3529" s="9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</row>
    <row r="3530" spans="5:30" ht="15">
      <c r="E3530" s="9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</row>
    <row r="3531" spans="5:30" ht="15">
      <c r="E3531" s="9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</row>
    <row r="3532" spans="5:30" ht="15">
      <c r="E3532" s="9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</row>
    <row r="3533" spans="5:30" ht="15">
      <c r="E3533" s="9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</row>
    <row r="3534" spans="5:30" ht="15">
      <c r="E3534" s="9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</row>
    <row r="3535" spans="5:30" ht="15">
      <c r="E3535" s="9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</row>
    <row r="3536" spans="5:30" ht="15">
      <c r="E3536" s="9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</row>
    <row r="3537" spans="5:30" ht="15">
      <c r="E3537" s="9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</row>
    <row r="3538" spans="5:30" ht="15">
      <c r="E3538" s="9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</row>
    <row r="3539" spans="5:30" ht="15">
      <c r="E3539" s="9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</row>
    <row r="3540" spans="5:30" ht="15">
      <c r="E3540" s="9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</row>
    <row r="3541" spans="5:30" ht="15">
      <c r="E3541" s="9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</row>
    <row r="3542" spans="5:30" ht="15">
      <c r="E3542" s="9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</row>
    <row r="3543" spans="5:30" ht="15">
      <c r="E3543" s="9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</row>
    <row r="3544" spans="5:30" ht="15">
      <c r="E3544" s="9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</row>
    <row r="3545" spans="5:30" ht="15">
      <c r="E3545" s="9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</row>
    <row r="3546" spans="5:30" ht="15">
      <c r="E3546" s="9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</row>
    <row r="3547" spans="5:30" ht="15">
      <c r="E3547" s="9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</row>
    <row r="3548" spans="5:30" ht="15">
      <c r="E3548" s="9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</row>
    <row r="3549" spans="5:30" ht="15">
      <c r="E3549" s="9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</row>
    <row r="3550" spans="5:30" ht="15">
      <c r="E3550" s="9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</row>
    <row r="3551" spans="5:30" ht="15">
      <c r="E3551" s="9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</row>
    <row r="3552" spans="5:30" ht="15">
      <c r="E3552" s="9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</row>
    <row r="3553" spans="5:30" ht="15">
      <c r="E3553" s="9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</row>
    <row r="3554" spans="5:30" ht="15">
      <c r="E3554" s="9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</row>
    <row r="3555" spans="5:30" ht="15">
      <c r="E3555" s="9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</row>
    <row r="3556" spans="5:30" ht="15">
      <c r="E3556" s="9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</row>
    <row r="3557" spans="5:30" ht="15">
      <c r="E3557" s="9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</row>
    <row r="3558" spans="5:30" ht="15">
      <c r="E3558" s="9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</row>
    <row r="3559" spans="5:30" ht="15">
      <c r="E3559" s="9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</row>
    <row r="3560" spans="5:30" ht="15">
      <c r="E3560" s="9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</row>
    <row r="3561" spans="5:30" ht="15">
      <c r="E3561" s="9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</row>
    <row r="3562" spans="5:30" ht="15">
      <c r="E3562" s="9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</row>
    <row r="3563" spans="5:30" ht="15">
      <c r="E3563" s="9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</row>
    <row r="3564" spans="5:30" ht="15">
      <c r="E3564" s="9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</row>
    <row r="3565" spans="5:30" ht="15">
      <c r="E3565" s="9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</row>
    <row r="3566" spans="5:30" ht="15">
      <c r="E3566" s="9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</row>
    <row r="3567" spans="5:30" ht="15">
      <c r="E3567" s="9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</row>
    <row r="3568" spans="5:30" ht="15">
      <c r="E3568" s="9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</row>
    <row r="3569" spans="5:30" ht="15">
      <c r="E3569" s="9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</row>
    <row r="3570" spans="5:30" ht="15">
      <c r="E3570" s="9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</row>
    <row r="3571" spans="5:30" ht="15">
      <c r="E3571" s="9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</row>
    <row r="3572" spans="5:30" ht="15">
      <c r="E3572" s="9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</row>
    <row r="3573" spans="5:30" ht="15">
      <c r="E3573" s="9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</row>
    <row r="3574" spans="5:30" ht="15">
      <c r="E3574" s="9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</row>
    <row r="3575" spans="5:30" ht="15">
      <c r="E3575" s="9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</row>
    <row r="3576" spans="5:30" ht="15">
      <c r="E3576" s="9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</row>
    <row r="3577" spans="5:30" ht="15">
      <c r="E3577" s="9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</row>
    <row r="3578" spans="5:30" ht="15">
      <c r="E3578" s="9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</row>
    <row r="3579" spans="5:30" ht="15">
      <c r="E3579" s="9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</row>
    <row r="3580" spans="5:30" ht="15">
      <c r="E3580" s="9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</row>
    <row r="3581" spans="5:30" ht="15">
      <c r="E3581" s="9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</row>
    <row r="3582" spans="5:30" ht="15">
      <c r="E3582" s="9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</row>
    <row r="3583" spans="5:30" ht="15">
      <c r="E3583" s="9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</row>
    <row r="3584" spans="5:30" ht="15">
      <c r="E3584" s="9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</row>
    <row r="3585" spans="5:30" ht="15">
      <c r="E3585" s="9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</row>
    <row r="3586" spans="5:30" ht="15">
      <c r="E3586" s="9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</row>
    <row r="3587" spans="5:30" ht="15">
      <c r="E3587" s="9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</row>
    <row r="3588" spans="5:30" ht="15">
      <c r="E3588" s="9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</row>
    <row r="3589" spans="5:30" ht="15">
      <c r="E3589" s="9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</row>
    <row r="3590" spans="5:30" ht="15">
      <c r="E3590" s="9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</row>
    <row r="3591" spans="5:30" ht="15">
      <c r="E3591" s="9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</row>
    <row r="3592" spans="5:30" ht="15">
      <c r="E3592" s="9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</row>
    <row r="3593" spans="5:30" ht="15">
      <c r="E3593" s="9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</row>
    <row r="3594" spans="5:30" ht="15">
      <c r="E3594" s="9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</row>
    <row r="3595" spans="5:30" ht="15">
      <c r="E3595" s="9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</row>
    <row r="3596" spans="5:30" ht="15">
      <c r="E3596" s="9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</row>
    <row r="3597" spans="5:30" ht="15">
      <c r="E3597" s="9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</row>
    <row r="3598" spans="5:30" ht="15">
      <c r="E3598" s="9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</row>
    <row r="3599" spans="5:30" ht="15">
      <c r="E3599" s="9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</row>
    <row r="3600" spans="5:30" ht="15">
      <c r="E3600" s="9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</row>
    <row r="3601" spans="5:30" ht="15">
      <c r="E3601" s="9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</row>
    <row r="3602" spans="5:30" ht="15">
      <c r="E3602" s="9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</row>
    <row r="3603" spans="5:30" ht="15">
      <c r="E3603" s="9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</row>
    <row r="3604" spans="5:30" ht="15">
      <c r="E3604" s="9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</row>
    <row r="3605" spans="5:30" ht="15">
      <c r="E3605" s="9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</row>
    <row r="3606" spans="5:30" ht="15">
      <c r="E3606" s="9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</row>
    <row r="3607" spans="5:30" ht="15">
      <c r="E3607" s="9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</row>
    <row r="3608" spans="5:30" ht="15">
      <c r="E3608" s="9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</row>
    <row r="3609" spans="5:30" ht="15">
      <c r="E3609" s="9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</row>
    <row r="3610" spans="5:30" ht="15">
      <c r="E3610" s="9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</row>
    <row r="3611" spans="5:30" ht="15">
      <c r="E3611" s="9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</row>
    <row r="3612" spans="5:30" ht="15">
      <c r="E3612" s="9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</row>
    <row r="3613" spans="5:30" ht="15">
      <c r="E3613" s="9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</row>
    <row r="3614" spans="5:30" ht="15">
      <c r="E3614" s="9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</row>
    <row r="3615" spans="5:30" ht="15">
      <c r="E3615" s="9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</row>
    <row r="3616" spans="5:30" ht="15">
      <c r="E3616" s="9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</row>
    <row r="3617" spans="5:30" ht="15">
      <c r="E3617" s="9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</row>
    <row r="3618" spans="5:30" ht="15">
      <c r="E3618" s="9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</row>
    <row r="3619" spans="5:30" ht="15">
      <c r="E3619" s="9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</row>
    <row r="3620" spans="5:30" ht="15">
      <c r="E3620" s="9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</row>
    <row r="3621" spans="5:30" ht="15">
      <c r="E3621" s="9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</row>
    <row r="3622" spans="5:30" ht="15">
      <c r="E3622" s="9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</row>
    <row r="3623" spans="5:30" ht="15">
      <c r="E3623" s="9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</row>
    <row r="3624" spans="5:30" ht="15">
      <c r="E3624" s="9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</row>
    <row r="3625" spans="5:30" ht="15">
      <c r="E3625" s="9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</row>
    <row r="3626" spans="5:30" ht="15">
      <c r="E3626" s="9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</row>
    <row r="3627" spans="5:30" ht="15">
      <c r="E3627" s="9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</row>
    <row r="3628" spans="5:30" ht="15">
      <c r="E3628" s="9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</row>
    <row r="3629" spans="5:30" ht="15">
      <c r="E3629" s="9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</row>
    <row r="3630" spans="5:30" ht="15">
      <c r="E3630" s="9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</row>
    <row r="3631" spans="5:30" ht="15">
      <c r="E3631" s="9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</row>
    <row r="3632" spans="5:30" ht="15">
      <c r="E3632" s="9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</row>
    <row r="3633" spans="5:30" ht="15">
      <c r="E3633" s="9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</row>
    <row r="3634" spans="5:30" ht="15">
      <c r="E3634" s="9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</row>
    <row r="3635" spans="5:30" ht="15">
      <c r="E3635" s="9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</row>
    <row r="3636" spans="5:30" ht="15">
      <c r="E3636" s="9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</row>
    <row r="3637" spans="5:30" ht="15">
      <c r="E3637" s="9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</row>
    <row r="3638" spans="5:30" ht="15">
      <c r="E3638" s="9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</row>
    <row r="3639" spans="5:30" ht="15">
      <c r="E3639" s="9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</row>
    <row r="3640" spans="5:30" ht="15">
      <c r="E3640" s="9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</row>
    <row r="3641" spans="5:30" ht="15">
      <c r="E3641" s="9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</row>
    <row r="3642" spans="5:30" ht="15">
      <c r="E3642" s="9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</row>
    <row r="3643" spans="5:30" ht="15">
      <c r="E3643" s="9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</row>
    <row r="3644" spans="5:30" ht="15">
      <c r="E3644" s="9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</row>
    <row r="3645" spans="5:30" ht="15">
      <c r="E3645" s="9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</row>
    <row r="3646" spans="5:30" ht="15">
      <c r="E3646" s="9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</row>
    <row r="3647" spans="5:30" ht="15">
      <c r="E3647" s="9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</row>
    <row r="3648" spans="5:30" ht="15">
      <c r="E3648" s="9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</row>
    <row r="3649" spans="5:30" ht="15">
      <c r="E3649" s="9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</row>
    <row r="3650" spans="5:30" ht="15">
      <c r="E3650" s="9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</row>
    <row r="3651" spans="5:30" ht="15">
      <c r="E3651" s="9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</row>
    <row r="3652" spans="5:30" ht="15">
      <c r="E3652" s="9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</row>
    <row r="3653" spans="5:30" ht="15">
      <c r="E3653" s="9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</row>
    <row r="3654" spans="5:30" ht="15">
      <c r="E3654" s="9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</row>
    <row r="3655" spans="5:30" ht="15">
      <c r="E3655" s="9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</row>
    <row r="3656" spans="5:30" ht="15">
      <c r="E3656" s="9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</row>
    <row r="3657" spans="5:30" ht="15">
      <c r="E3657" s="9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</row>
    <row r="3658" spans="5:30" ht="15">
      <c r="E3658" s="9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</row>
    <row r="3659" spans="5:30" ht="15">
      <c r="E3659" s="9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</row>
    <row r="3660" spans="5:30" ht="15">
      <c r="E3660" s="9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</row>
    <row r="3661" spans="5:30" ht="15">
      <c r="E3661" s="9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</row>
    <row r="3662" spans="5:30" ht="15">
      <c r="E3662" s="9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</row>
    <row r="3663" spans="5:30" ht="15">
      <c r="E3663" s="9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</row>
    <row r="3664" spans="5:30" ht="15">
      <c r="E3664" s="9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</row>
    <row r="3665" spans="5:30" ht="15">
      <c r="E3665" s="9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</row>
    <row r="3666" spans="5:30" ht="15">
      <c r="E3666" s="9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</row>
    <row r="3667" spans="5:30" ht="15">
      <c r="E3667" s="9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</row>
    <row r="3668" spans="5:30" ht="15">
      <c r="E3668" s="9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</row>
    <row r="3669" spans="5:30" ht="15">
      <c r="E3669" s="9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</row>
    <row r="3670" spans="5:30" ht="15">
      <c r="E3670" s="9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</row>
    <row r="3671" spans="5:30" ht="15">
      <c r="E3671" s="9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</row>
    <row r="3672" spans="5:30" ht="15">
      <c r="E3672" s="9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</row>
    <row r="3673" spans="5:30" ht="15">
      <c r="E3673" s="9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</row>
    <row r="3674" spans="5:30" ht="15">
      <c r="E3674" s="9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</row>
    <row r="3675" spans="5:30" ht="15">
      <c r="E3675" s="9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</row>
    <row r="3676" spans="5:30" ht="15">
      <c r="E3676" s="9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</row>
    <row r="3677" spans="5:30" ht="15">
      <c r="E3677" s="9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</row>
    <row r="3678" spans="5:30" ht="15">
      <c r="E3678" s="9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</row>
    <row r="3679" spans="5:30" ht="15">
      <c r="E3679" s="9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</row>
    <row r="3680" spans="5:30" ht="15">
      <c r="E3680" s="9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</row>
    <row r="3681" spans="5:30" ht="15">
      <c r="E3681" s="9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</row>
    <row r="3682" spans="5:30" ht="15">
      <c r="E3682" s="9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</row>
    <row r="3683" spans="5:30" ht="15">
      <c r="E3683" s="9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</row>
    <row r="3684" spans="5:30" ht="15">
      <c r="E3684" s="9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</row>
    <row r="3685" spans="5:30" ht="15">
      <c r="E3685" s="9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</row>
    <row r="3686" spans="5:30" ht="15">
      <c r="E3686" s="9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</row>
    <row r="3687" spans="5:30" ht="15">
      <c r="E3687" s="9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</row>
    <row r="3688" spans="5:30" ht="15">
      <c r="E3688" s="9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</row>
    <row r="3689" spans="5:30" ht="15">
      <c r="E3689" s="9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</row>
    <row r="3690" spans="5:30" ht="15">
      <c r="E3690" s="9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</row>
    <row r="3691" spans="5:30" ht="15">
      <c r="E3691" s="9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</row>
    <row r="3692" spans="5:30" ht="15">
      <c r="E3692" s="9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</row>
    <row r="3693" spans="5:30" ht="15">
      <c r="E3693" s="9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</row>
    <row r="3694" spans="5:30" ht="15">
      <c r="E3694" s="9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</row>
    <row r="3695" spans="5:30" ht="15">
      <c r="E3695" s="9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</row>
    <row r="3696" spans="5:30" ht="15">
      <c r="E3696" s="9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</row>
    <row r="3697" spans="5:30" ht="15">
      <c r="E3697" s="9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</row>
    <row r="3698" spans="5:30" ht="15">
      <c r="E3698" s="9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</row>
    <row r="3699" spans="5:30" ht="15">
      <c r="E3699" s="9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</row>
    <row r="3700" spans="5:30" ht="15">
      <c r="E3700" s="9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</row>
    <row r="3701" spans="5:30" ht="15">
      <c r="E3701" s="9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</row>
    <row r="3702" spans="5:30" ht="15">
      <c r="E3702" s="9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</row>
    <row r="3703" spans="5:30" ht="15">
      <c r="E3703" s="9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</row>
    <row r="3704" spans="5:30" ht="15">
      <c r="E3704" s="9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</row>
    <row r="3705" spans="5:30" ht="15">
      <c r="E3705" s="9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</row>
    <row r="3706" spans="5:30" ht="15">
      <c r="E3706" s="9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</row>
    <row r="3707" spans="5:30" ht="15">
      <c r="E3707" s="9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</row>
    <row r="3708" spans="5:30" ht="15">
      <c r="E3708" s="9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</row>
    <row r="3709" spans="5:30" ht="15">
      <c r="E3709" s="9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</row>
    <row r="3710" spans="5:30" ht="15">
      <c r="E3710" s="9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</row>
    <row r="3711" spans="5:30" ht="15">
      <c r="E3711" s="9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</row>
    <row r="3712" spans="5:30" ht="15">
      <c r="E3712" s="9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</row>
    <row r="3713" spans="5:30" ht="15">
      <c r="E3713" s="9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</row>
    <row r="3714" spans="5:30" ht="15">
      <c r="E3714" s="9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</row>
    <row r="3715" spans="5:30" ht="15">
      <c r="E3715" s="9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</row>
    <row r="3716" spans="5:30" ht="15">
      <c r="E3716" s="9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</row>
    <row r="3717" spans="5:30" ht="15">
      <c r="E3717" s="9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</row>
    <row r="3718" spans="5:30" ht="15">
      <c r="E3718" s="9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</row>
    <row r="3719" spans="5:30" ht="15">
      <c r="E3719" s="9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</row>
    <row r="3720" spans="5:30" ht="15">
      <c r="E3720" s="9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</row>
    <row r="3721" spans="5:30" ht="15">
      <c r="E3721" s="9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</row>
    <row r="3722" spans="5:30" ht="15">
      <c r="E3722" s="9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</row>
    <row r="3723" spans="5:30" ht="15">
      <c r="E3723" s="9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</row>
    <row r="3724" spans="5:30" ht="15">
      <c r="E3724" s="9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</row>
    <row r="3725" spans="5:30" ht="15">
      <c r="E3725" s="9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</row>
    <row r="3726" spans="5:30" ht="15">
      <c r="E3726" s="9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</row>
    <row r="3727" spans="5:30" ht="15">
      <c r="E3727" s="9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</row>
    <row r="3728" spans="5:30" ht="15">
      <c r="E3728" s="9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</row>
    <row r="3729" spans="5:30" ht="15">
      <c r="E3729" s="9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</row>
    <row r="3730" spans="5:30" ht="15">
      <c r="E3730" s="9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</row>
    <row r="3731" spans="5:30" ht="15">
      <c r="E3731" s="9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</row>
    <row r="3732" spans="5:30" ht="15">
      <c r="E3732" s="9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</row>
    <row r="3733" spans="5:30" ht="15">
      <c r="E3733" s="9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</row>
    <row r="3734" spans="5:30" ht="15">
      <c r="E3734" s="9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</row>
    <row r="3735" spans="5:30" ht="15">
      <c r="E3735" s="9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</row>
    <row r="3736" spans="5:30" ht="15">
      <c r="E3736" s="9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</row>
    <row r="3737" spans="5:30" ht="15">
      <c r="E3737" s="9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</row>
    <row r="3738" spans="5:30" ht="15">
      <c r="E3738" s="9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</row>
    <row r="3739" spans="5:30" ht="15">
      <c r="E3739" s="9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</row>
    <row r="3740" spans="5:30" ht="15">
      <c r="E3740" s="9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</row>
    <row r="3741" spans="5:30" ht="15">
      <c r="E3741" s="9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</row>
    <row r="3742" spans="5:30" ht="15">
      <c r="E3742" s="9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</row>
    <row r="3743" spans="5:30" ht="15">
      <c r="E3743" s="9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</row>
    <row r="3744" spans="5:30" ht="15">
      <c r="E3744" s="9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</row>
    <row r="3745" spans="5:30" ht="15">
      <c r="E3745" s="9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</row>
    <row r="3746" spans="5:30" ht="15">
      <c r="E3746" s="9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</row>
    <row r="3747" spans="5:30" ht="15">
      <c r="E3747" s="9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</row>
    <row r="3748" spans="5:30" ht="15">
      <c r="E3748" s="9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</row>
    <row r="3749" spans="5:30" ht="15">
      <c r="E3749" s="9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</row>
    <row r="3750" spans="5:30" ht="15">
      <c r="E3750" s="9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</row>
    <row r="3751" spans="5:30" ht="15">
      <c r="E3751" s="9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</row>
    <row r="3752" spans="5:30" ht="15">
      <c r="E3752" s="9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</row>
    <row r="3753" spans="5:30" ht="15">
      <c r="E3753" s="9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</row>
    <row r="3754" spans="5:30" ht="15">
      <c r="E3754" s="9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</row>
    <row r="3755" spans="5:30" ht="15">
      <c r="E3755" s="9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</row>
    <row r="3756" spans="5:30" ht="15">
      <c r="E3756" s="9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</row>
    <row r="3757" spans="5:30" ht="15">
      <c r="E3757" s="9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</row>
    <row r="3758" spans="5:30" ht="15">
      <c r="E3758" s="9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</row>
    <row r="3759" spans="5:30" ht="15">
      <c r="E3759" s="9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</row>
    <row r="3760" spans="5:30" ht="15">
      <c r="E3760" s="9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</row>
    <row r="3761" spans="5:30" ht="15">
      <c r="E3761" s="9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</row>
    <row r="3762" spans="5:30" ht="15">
      <c r="E3762" s="9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</row>
    <row r="3763" spans="5:30" ht="15">
      <c r="E3763" s="9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</row>
    <row r="3764" spans="5:30" ht="15">
      <c r="E3764" s="9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</row>
    <row r="3765" spans="5:30" ht="15">
      <c r="E3765" s="9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</row>
    <row r="3766" spans="5:30" ht="15">
      <c r="E3766" s="9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</row>
    <row r="3767" spans="5:30" ht="15">
      <c r="E3767" s="9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</row>
    <row r="3768" spans="5:30" ht="15">
      <c r="E3768" s="9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</row>
    <row r="3769" spans="5:30" ht="15">
      <c r="E3769" s="9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</row>
    <row r="3770" spans="5:30" ht="15">
      <c r="E3770" s="9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</row>
    <row r="3771" spans="5:30" ht="15">
      <c r="E3771" s="9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</row>
    <row r="3772" spans="5:30" ht="15">
      <c r="E3772" s="9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</row>
    <row r="3773" spans="5:30" ht="15">
      <c r="E3773" s="9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</row>
    <row r="3774" spans="5:30" ht="15">
      <c r="E3774" s="9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</row>
    <row r="3775" spans="5:30" ht="15">
      <c r="E3775" s="9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</row>
    <row r="3776" spans="5:30" ht="15">
      <c r="E3776" s="9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</row>
    <row r="3777" spans="5:30" ht="15">
      <c r="E3777" s="9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</row>
    <row r="3778" spans="5:30" ht="15">
      <c r="E3778" s="9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</row>
    <row r="3779" spans="5:30" ht="15">
      <c r="E3779" s="9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</row>
    <row r="3780" spans="5:30" ht="15">
      <c r="E3780" s="9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</row>
    <row r="3781" spans="5:30" ht="15">
      <c r="E3781" s="9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</row>
    <row r="3782" spans="5:30" ht="15">
      <c r="E3782" s="9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</row>
    <row r="3783" spans="5:30" ht="15">
      <c r="E3783" s="9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</row>
    <row r="3784" spans="5:30" ht="15">
      <c r="E3784" s="9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</row>
    <row r="3785" spans="5:30" ht="15">
      <c r="E3785" s="9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</row>
    <row r="3786" spans="5:30" ht="15">
      <c r="E3786" s="9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</row>
    <row r="3787" spans="5:30" ht="15">
      <c r="E3787" s="9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</row>
    <row r="3788" spans="5:30" ht="15">
      <c r="E3788" s="9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</row>
    <row r="3789" spans="5:30" ht="15">
      <c r="E3789" s="9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</row>
    <row r="3790" spans="5:30" ht="15">
      <c r="E3790" s="9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</row>
    <row r="3791" spans="5:30" ht="15">
      <c r="E3791" s="9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</row>
    <row r="3792" spans="5:30" ht="15">
      <c r="E3792" s="9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</row>
    <row r="3793" spans="5:30" ht="15">
      <c r="E3793" s="9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</row>
    <row r="3794" spans="5:30" ht="15">
      <c r="E3794" s="9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</row>
    <row r="3795" spans="5:30" ht="15">
      <c r="E3795" s="9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</row>
    <row r="3796" spans="5:30" ht="15">
      <c r="E3796" s="9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</row>
    <row r="3797" spans="5:30" ht="15">
      <c r="E3797" s="9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</row>
    <row r="3798" spans="5:30" ht="15">
      <c r="E3798" s="9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</row>
    <row r="3799" spans="5:30" ht="15">
      <c r="E3799" s="9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</row>
    <row r="3800" spans="5:30" ht="15">
      <c r="E3800" s="9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</row>
    <row r="3801" spans="5:30" ht="15">
      <c r="E3801" s="9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</row>
    <row r="3802" spans="5:30" ht="15">
      <c r="E3802" s="9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</row>
    <row r="3803" spans="5:30" ht="15">
      <c r="E3803" s="9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</row>
    <row r="3804" spans="5:30" ht="15">
      <c r="E3804" s="9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</row>
    <row r="3805" spans="5:30" ht="15">
      <c r="E3805" s="9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</row>
    <row r="3806" spans="5:30" ht="15">
      <c r="E3806" s="9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</row>
    <row r="3807" spans="5:30" ht="15">
      <c r="E3807" s="9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</row>
    <row r="3808" spans="5:30" ht="15">
      <c r="E3808" s="9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</row>
    <row r="3809" spans="5:30" ht="15">
      <c r="E3809" s="9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</row>
    <row r="3810" spans="5:30" ht="15">
      <c r="E3810" s="9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</row>
    <row r="3811" spans="5:30" ht="15">
      <c r="E3811" s="9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</row>
    <row r="3812" spans="5:30" ht="15">
      <c r="E3812" s="9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</row>
    <row r="3813" spans="5:30" ht="15">
      <c r="E3813" s="9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</row>
    <row r="3814" spans="5:30" ht="15">
      <c r="E3814" s="9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</row>
    <row r="3815" spans="5:30" ht="15">
      <c r="E3815" s="9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</row>
    <row r="3816" spans="5:30" ht="15">
      <c r="E3816" s="9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</row>
    <row r="3817" spans="5:30" ht="15">
      <c r="E3817" s="9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</row>
    <row r="3818" spans="5:30" ht="15">
      <c r="E3818" s="9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</row>
    <row r="3819" spans="5:30" ht="15">
      <c r="E3819" s="9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</row>
    <row r="3820" spans="5:30" ht="15">
      <c r="E3820" s="9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</row>
    <row r="3821" spans="5:30" ht="15">
      <c r="E3821" s="9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</row>
    <row r="3822" spans="5:30" ht="15">
      <c r="E3822" s="9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</row>
    <row r="3823" spans="5:30" ht="15">
      <c r="E3823" s="9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</row>
    <row r="3824" spans="5:30" ht="15">
      <c r="E3824" s="9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</row>
    <row r="3825" spans="5:30" ht="15">
      <c r="E3825" s="9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</row>
    <row r="3826" spans="5:30" ht="15">
      <c r="E3826" s="9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</row>
    <row r="3827" spans="5:30" ht="15">
      <c r="E3827" s="9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</row>
    <row r="3828" spans="5:30" ht="15">
      <c r="E3828" s="9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</row>
    <row r="3829" spans="5:30" ht="15">
      <c r="E3829" s="9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</row>
    <row r="3830" spans="5:30" ht="15">
      <c r="E3830" s="9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</row>
    <row r="3831" spans="5:30" ht="15">
      <c r="E3831" s="9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</row>
    <row r="3832" spans="5:30" ht="15">
      <c r="E3832" s="9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</row>
    <row r="3833" spans="5:30" ht="15">
      <c r="E3833" s="9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</row>
    <row r="3834" spans="5:30" ht="15">
      <c r="E3834" s="9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</row>
    <row r="3835" spans="5:30" ht="15">
      <c r="E3835" s="9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</row>
    <row r="3836" spans="5:30" ht="15">
      <c r="E3836" s="9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</row>
    <row r="3837" spans="5:30" ht="15">
      <c r="E3837" s="9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</row>
    <row r="3838" spans="5:30" ht="15">
      <c r="E3838" s="9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</row>
    <row r="3839" spans="5:30" ht="15">
      <c r="E3839" s="9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</row>
    <row r="3840" spans="5:30" ht="15">
      <c r="E3840" s="9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</row>
    <row r="3841" spans="5:30" ht="15">
      <c r="E3841" s="9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</row>
    <row r="3842" spans="5:30" ht="15">
      <c r="E3842" s="9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</row>
    <row r="3843" spans="5:30" ht="15">
      <c r="E3843" s="9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</row>
    <row r="3844" spans="5:30" ht="15">
      <c r="E3844" s="9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</row>
    <row r="3845" spans="5:30" ht="15">
      <c r="E3845" s="9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</row>
    <row r="3846" spans="5:30" ht="15">
      <c r="E3846" s="9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</row>
    <row r="3847" spans="5:30" ht="15">
      <c r="E3847" s="9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</row>
    <row r="3848" spans="5:30" ht="15">
      <c r="E3848" s="9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</row>
    <row r="3849" spans="5:30" ht="15">
      <c r="E3849" s="9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</row>
    <row r="3850" spans="5:30" ht="15">
      <c r="E3850" s="9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</row>
    <row r="3851" spans="5:30" ht="15">
      <c r="E3851" s="9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</row>
    <row r="3852" spans="5:30" ht="15">
      <c r="E3852" s="9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</row>
    <row r="3853" spans="5:30" ht="15">
      <c r="E3853" s="9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</row>
    <row r="3854" spans="5:30" ht="15">
      <c r="E3854" s="9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</row>
    <row r="3855" spans="5:30" ht="15">
      <c r="E3855" s="9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</row>
    <row r="3856" spans="5:30" ht="15">
      <c r="E3856" s="9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</row>
    <row r="3857" spans="5:30" ht="15">
      <c r="E3857" s="9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</row>
    <row r="3858" spans="5:30" ht="15">
      <c r="E3858" s="9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</row>
    <row r="3859" spans="5:30" ht="15">
      <c r="E3859" s="9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</row>
    <row r="3860" spans="5:30" ht="15">
      <c r="E3860" s="9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</row>
    <row r="3861" spans="5:30" ht="15">
      <c r="E3861" s="9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</row>
    <row r="3862" spans="5:30" ht="15">
      <c r="E3862" s="9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</row>
    <row r="3863" spans="5:30" ht="15">
      <c r="E3863" s="9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</row>
    <row r="3864" spans="5:30" ht="15">
      <c r="E3864" s="9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</row>
    <row r="3865" spans="5:30" ht="15">
      <c r="E3865" s="9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</row>
    <row r="3866" spans="5:30" ht="15">
      <c r="E3866" s="9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</row>
    <row r="3867" spans="5:30" ht="15">
      <c r="E3867" s="9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</row>
    <row r="3868" spans="5:30" ht="15">
      <c r="E3868" s="9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</row>
    <row r="3869" spans="5:30" ht="15">
      <c r="E3869" s="9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</row>
    <row r="3870" spans="5:30" ht="15">
      <c r="E3870" s="9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</row>
    <row r="3871" spans="5:30" ht="15">
      <c r="E3871" s="9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</row>
    <row r="3872" spans="5:30" ht="15">
      <c r="E3872" s="9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</row>
    <row r="3873" spans="5:30" ht="15">
      <c r="E3873" s="9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</row>
    <row r="3874" spans="5:30" ht="15">
      <c r="E3874" s="9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</row>
    <row r="3875" spans="5:30" ht="15">
      <c r="E3875" s="9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</row>
    <row r="3876" spans="5:30" ht="15">
      <c r="E3876" s="9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</row>
    <row r="3877" spans="5:30" ht="15">
      <c r="E3877" s="9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</row>
    <row r="3878" spans="5:30" ht="15">
      <c r="E3878" s="9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</row>
    <row r="3879" spans="5:30" ht="15">
      <c r="E3879" s="9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</row>
    <row r="3880" spans="5:30" ht="15">
      <c r="E3880" s="9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</row>
    <row r="3881" spans="5:30" ht="15">
      <c r="E3881" s="9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</row>
    <row r="3882" spans="5:30" ht="15">
      <c r="E3882" s="9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</row>
    <row r="3883" spans="5:30" ht="15">
      <c r="E3883" s="9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</row>
    <row r="3884" spans="5:30" ht="15">
      <c r="E3884" s="9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</row>
    <row r="3885" spans="5:30" ht="15">
      <c r="E3885" s="9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</row>
    <row r="3886" spans="5:30" ht="15">
      <c r="E3886" s="9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</row>
    <row r="3887" spans="5:30" ht="15">
      <c r="E3887" s="9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</row>
    <row r="3888" spans="5:30" ht="15">
      <c r="E3888" s="9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</row>
    <row r="3889" spans="5:30" ht="15">
      <c r="E3889" s="9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</row>
    <row r="3890" spans="5:30" ht="15">
      <c r="E3890" s="9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</row>
    <row r="3891" spans="5:30" ht="15">
      <c r="E3891" s="9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</row>
    <row r="3892" spans="5:30" ht="15">
      <c r="E3892" s="9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</row>
    <row r="3893" spans="5:30" ht="15">
      <c r="E3893" s="9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</row>
    <row r="3894" spans="5:30" ht="15">
      <c r="E3894" s="9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</row>
    <row r="3895" spans="5:30" ht="15">
      <c r="E3895" s="9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</row>
    <row r="3896" spans="5:30" ht="15">
      <c r="E3896" s="9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</row>
    <row r="3897" spans="5:30" ht="15">
      <c r="E3897" s="9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</row>
    <row r="3898" spans="5:30" ht="15">
      <c r="E3898" s="9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</row>
    <row r="3899" spans="5:30" ht="15">
      <c r="E3899" s="9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</row>
    <row r="3900" spans="5:30" ht="15">
      <c r="E3900" s="9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</row>
    <row r="3901" spans="5:30" ht="15">
      <c r="E3901" s="9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</row>
    <row r="3902" spans="5:30" ht="15">
      <c r="E3902" s="9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</row>
    <row r="3903" spans="5:30" ht="15">
      <c r="E3903" s="9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</row>
    <row r="3904" spans="5:30" ht="15">
      <c r="E3904" s="9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</row>
    <row r="3905" spans="5:30" ht="15">
      <c r="E3905" s="9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</row>
    <row r="3906" spans="5:30" ht="15">
      <c r="E3906" s="9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</row>
    <row r="3907" spans="5:30" ht="15">
      <c r="E3907" s="9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</row>
    <row r="3908" spans="5:30" ht="15">
      <c r="E3908" s="9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</row>
    <row r="3909" spans="5:30" ht="15">
      <c r="E3909" s="9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</row>
    <row r="3910" spans="5:30" ht="15">
      <c r="E3910" s="9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</row>
    <row r="3911" spans="5:30" ht="15">
      <c r="E3911" s="9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</row>
    <row r="3912" spans="5:30" ht="15">
      <c r="E3912" s="9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</row>
    <row r="3913" spans="5:30" ht="15">
      <c r="E3913" s="9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</row>
    <row r="3914" spans="5:30" ht="15">
      <c r="E3914" s="9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</row>
    <row r="3915" spans="5:30" ht="15">
      <c r="E3915" s="9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</row>
    <row r="3916" spans="5:30" ht="15">
      <c r="E3916" s="9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</row>
    <row r="3917" spans="5:30" ht="15">
      <c r="E3917" s="9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</row>
    <row r="3918" spans="5:30" ht="15">
      <c r="E3918" s="9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</row>
    <row r="3919" spans="5:30" ht="15">
      <c r="E3919" s="9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</row>
    <row r="3920" spans="5:30" ht="15">
      <c r="E3920" s="9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</row>
    <row r="3921" spans="5:30" ht="15">
      <c r="E3921" s="9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</row>
    <row r="3922" spans="5:30" ht="15">
      <c r="E3922" s="9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</row>
    <row r="3923" spans="5:30" ht="15">
      <c r="E3923" s="9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</row>
    <row r="3924" spans="5:30" ht="15">
      <c r="E3924" s="9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</row>
    <row r="3925" spans="5:30" ht="15">
      <c r="E3925" s="9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</row>
    <row r="3926" spans="5:30" ht="15">
      <c r="E3926" s="9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</row>
    <row r="3927" spans="5:30" ht="15">
      <c r="E3927" s="9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</row>
    <row r="3928" spans="5:30" ht="15">
      <c r="E3928" s="9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</row>
    <row r="3929" spans="5:30" ht="15">
      <c r="E3929" s="9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</row>
    <row r="3930" spans="5:30" ht="15">
      <c r="E3930" s="9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</row>
    <row r="3931" spans="5:30" ht="15">
      <c r="E3931" s="9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</row>
    <row r="3932" spans="5:30" ht="15">
      <c r="E3932" s="9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</row>
    <row r="3933" spans="5:30" ht="15">
      <c r="E3933" s="9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</row>
    <row r="3934" spans="5:30" ht="15">
      <c r="E3934" s="9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</row>
    <row r="3935" spans="5:30" ht="15">
      <c r="E3935" s="9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</row>
    <row r="3936" spans="5:30" ht="15">
      <c r="E3936" s="9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</row>
    <row r="3937" spans="5:30" ht="15">
      <c r="E3937" s="9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</row>
    <row r="3938" spans="5:30" ht="15">
      <c r="E3938" s="9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</row>
    <row r="3939" spans="5:30" ht="15">
      <c r="E3939" s="9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</row>
    <row r="3940" spans="5:30" ht="15">
      <c r="E3940" s="9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</row>
    <row r="3941" spans="5:30" ht="15">
      <c r="E3941" s="9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</row>
    <row r="3942" spans="5:30" ht="15">
      <c r="E3942" s="9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</row>
    <row r="3943" spans="5:30" ht="15">
      <c r="E3943" s="9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</row>
    <row r="3944" spans="5:30" ht="15">
      <c r="E3944" s="9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</row>
    <row r="3945" spans="5:30" ht="15">
      <c r="E3945" s="9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</row>
    <row r="3946" spans="5:30" ht="15">
      <c r="E3946" s="9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</row>
    <row r="3947" spans="5:30" ht="15">
      <c r="E3947" s="9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</row>
    <row r="3948" spans="5:30" ht="15">
      <c r="E3948" s="9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</row>
    <row r="3949" spans="5:30" ht="15">
      <c r="E3949" s="9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</row>
    <row r="3950" spans="5:30" ht="15">
      <c r="E3950" s="9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</row>
    <row r="3951" spans="5:30" ht="15">
      <c r="E3951" s="9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</row>
    <row r="3952" spans="5:30" ht="15">
      <c r="E3952" s="9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</row>
    <row r="3953" spans="5:30" ht="15">
      <c r="E3953" s="9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</row>
    <row r="3954" spans="5:30" ht="15">
      <c r="E3954" s="9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</row>
    <row r="3955" spans="5:30" ht="15">
      <c r="E3955" s="9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</row>
    <row r="3956" spans="5:30" ht="15">
      <c r="E3956" s="9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</row>
    <row r="3957" spans="5:30" ht="15">
      <c r="E3957" s="9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</row>
    <row r="3958" spans="5:30" ht="15">
      <c r="E3958" s="9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</row>
    <row r="3959" spans="5:30" ht="15">
      <c r="E3959" s="9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</row>
    <row r="3960" spans="5:30" ht="15">
      <c r="E3960" s="9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</row>
    <row r="3961" spans="5:30" ht="15">
      <c r="E3961" s="9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</row>
    <row r="3962" spans="5:30" ht="15">
      <c r="E3962" s="9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</row>
    <row r="3963" spans="5:30" ht="15">
      <c r="E3963" s="9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</row>
    <row r="3964" spans="5:30" ht="15">
      <c r="E3964" s="9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</row>
    <row r="3965" spans="5:30" ht="15">
      <c r="E3965" s="9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</row>
    <row r="3966" spans="5:30" ht="15">
      <c r="E3966" s="9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</row>
    <row r="3967" spans="5:30" ht="15">
      <c r="E3967" s="9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</row>
    <row r="3968" spans="5:30" ht="15">
      <c r="E3968" s="9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</row>
    <row r="3969" spans="5:30" ht="15">
      <c r="E3969" s="9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</row>
    <row r="3970" spans="5:30" ht="15">
      <c r="E3970" s="9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</row>
    <row r="3971" spans="5:30" ht="15">
      <c r="E3971" s="9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</row>
    <row r="3972" spans="5:30" ht="15">
      <c r="E3972" s="9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</row>
    <row r="3973" spans="5:30" ht="15">
      <c r="E3973" s="9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</row>
    <row r="3974" spans="5:30" ht="15">
      <c r="E3974" s="9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</row>
    <row r="3975" spans="5:30" ht="15">
      <c r="E3975" s="9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</row>
    <row r="3976" spans="5:30" ht="15">
      <c r="E3976" s="9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</row>
    <row r="3977" spans="5:30" ht="15">
      <c r="E3977" s="9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</row>
    <row r="3978" spans="5:30" ht="15">
      <c r="E3978" s="9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</row>
    <row r="3979" spans="5:30" ht="15">
      <c r="E3979" s="9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</row>
    <row r="3980" spans="5:30" ht="15">
      <c r="E3980" s="9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</row>
    <row r="3981" spans="5:30" ht="15">
      <c r="E3981" s="9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</row>
    <row r="3982" spans="5:30" ht="15">
      <c r="E3982" s="9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</row>
    <row r="3983" spans="5:30" ht="15">
      <c r="E3983" s="9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</row>
    <row r="3984" spans="5:30" ht="15">
      <c r="E3984" s="9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</row>
    <row r="3985" spans="5:30" ht="15">
      <c r="E3985" s="9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</row>
    <row r="3986" spans="5:30" ht="15">
      <c r="E3986" s="9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</row>
    <row r="3987" spans="5:30" ht="15">
      <c r="E3987" s="9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</row>
    <row r="3988" spans="5:30" ht="15">
      <c r="E3988" s="9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</row>
    <row r="3989" spans="5:30" ht="15">
      <c r="E3989" s="9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</row>
    <row r="3990" spans="5:30" ht="15">
      <c r="E3990" s="9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</row>
    <row r="3991" spans="5:30" ht="15">
      <c r="E3991" s="9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</row>
    <row r="3992" spans="5:30" ht="15">
      <c r="E3992" s="9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</row>
    <row r="3993" spans="5:30" ht="15">
      <c r="E3993" s="9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</row>
    <row r="3994" spans="5:30" ht="15">
      <c r="E3994" s="9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</row>
    <row r="3995" spans="5:30" ht="15">
      <c r="E3995" s="9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</row>
    <row r="3996" spans="5:30" ht="15">
      <c r="E3996" s="9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</row>
    <row r="3997" spans="5:30" ht="15">
      <c r="E3997" s="9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</row>
    <row r="3998" spans="5:30" ht="15">
      <c r="E3998" s="9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</row>
    <row r="3999" spans="5:30" ht="15">
      <c r="E3999" s="9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</row>
    <row r="4000" spans="5:30" ht="15">
      <c r="E4000" s="9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</row>
    <row r="4001" spans="5:30" ht="15">
      <c r="E4001" s="9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</row>
    <row r="4002" spans="5:30" ht="15">
      <c r="E4002" s="9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</row>
    <row r="4003" spans="5:30" ht="15">
      <c r="E4003" s="9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</row>
    <row r="4004" spans="5:30" ht="15">
      <c r="E4004" s="9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</row>
    <row r="4005" spans="5:30" ht="15">
      <c r="E4005" s="9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</row>
    <row r="4006" spans="5:30" ht="15">
      <c r="E4006" s="9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</row>
    <row r="4007" spans="5:30" ht="15">
      <c r="E4007" s="9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</row>
    <row r="4008" spans="5:30" ht="15">
      <c r="E4008" s="9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</row>
    <row r="4009" spans="5:30" ht="15">
      <c r="E4009" s="9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</row>
    <row r="4010" spans="5:30" ht="15">
      <c r="E4010" s="9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</row>
    <row r="4011" spans="5:30" ht="15">
      <c r="E4011" s="9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</row>
    <row r="4012" spans="5:30" ht="15">
      <c r="E4012" s="9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</row>
    <row r="4013" spans="5:30" ht="15">
      <c r="E4013" s="9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</row>
    <row r="4014" spans="5:30" ht="15">
      <c r="E4014" s="9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</row>
    <row r="4015" spans="5:30" ht="15">
      <c r="E4015" s="9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</row>
    <row r="4016" spans="5:30" ht="15">
      <c r="E4016" s="9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</row>
    <row r="4017" spans="5:30" ht="15">
      <c r="E4017" s="9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</row>
    <row r="4018" spans="5:30" ht="15">
      <c r="E4018" s="9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</row>
    <row r="4019" spans="5:30" ht="15">
      <c r="E4019" s="9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</row>
    <row r="4020" spans="5:30" ht="15">
      <c r="E4020" s="9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</row>
    <row r="4021" spans="5:30" ht="15">
      <c r="E4021" s="9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</row>
    <row r="4022" spans="5:30" ht="15">
      <c r="E4022" s="9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</row>
    <row r="4023" spans="5:30" ht="15">
      <c r="E4023" s="9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</row>
    <row r="4024" spans="5:30" ht="15">
      <c r="E4024" s="9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</row>
    <row r="4025" spans="5:30" ht="15">
      <c r="E4025" s="9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</row>
    <row r="4026" spans="5:30" ht="15">
      <c r="E4026" s="9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</row>
    <row r="4027" spans="5:30" ht="15">
      <c r="E4027" s="9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</row>
    <row r="4028" spans="5:30" ht="15">
      <c r="E4028" s="9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</row>
    <row r="4029" spans="5:30" ht="15">
      <c r="E4029" s="9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</row>
    <row r="4030" spans="5:30" ht="15">
      <c r="E4030" s="9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</row>
    <row r="4031" spans="5:30" ht="15">
      <c r="E4031" s="9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</row>
    <row r="4032" spans="5:30" ht="15">
      <c r="E4032" s="9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</row>
    <row r="4033" spans="5:30" ht="15">
      <c r="E4033" s="9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</row>
    <row r="4034" spans="5:30" ht="15">
      <c r="E4034" s="9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</row>
    <row r="4035" spans="5:30" ht="15">
      <c r="E4035" s="9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</row>
    <row r="4036" spans="5:30" ht="15">
      <c r="E4036" s="9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</row>
    <row r="4037" spans="5:30" ht="15">
      <c r="E4037" s="9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</row>
    <row r="4038" spans="5:30" ht="15">
      <c r="E4038" s="9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</row>
    <row r="4039" spans="5:30" ht="15">
      <c r="E4039" s="9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</row>
    <row r="4040" spans="5:30" ht="15">
      <c r="E4040" s="9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</row>
    <row r="4041" spans="5:30" ht="15">
      <c r="E4041" s="9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</row>
    <row r="4042" spans="5:30" ht="15">
      <c r="E4042" s="9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</row>
    <row r="4043" spans="5:30" ht="15">
      <c r="E4043" s="9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</row>
    <row r="4044" spans="5:30" ht="15">
      <c r="E4044" s="9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</row>
    <row r="4045" spans="5:30" ht="15">
      <c r="E4045" s="9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</row>
    <row r="4046" spans="5:30" ht="15">
      <c r="E4046" s="9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</row>
    <row r="4047" spans="5:30" ht="15">
      <c r="E4047" s="9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</row>
    <row r="4048" spans="5:30" ht="15">
      <c r="E4048" s="9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</row>
    <row r="4049" spans="5:30" ht="15">
      <c r="E4049" s="9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</row>
    <row r="4050" spans="5:30" ht="15">
      <c r="E4050" s="9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</row>
    <row r="4051" spans="5:30" ht="15">
      <c r="E4051" s="9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</row>
    <row r="4052" spans="5:30" ht="15">
      <c r="E4052" s="9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</row>
    <row r="4053" spans="5:30" ht="15">
      <c r="E4053" s="9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</row>
    <row r="4054" spans="5:30" ht="15">
      <c r="E4054" s="9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</row>
    <row r="4055" spans="5:30" ht="15">
      <c r="E4055" s="9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</row>
    <row r="4056" spans="5:30" ht="15">
      <c r="E4056" s="9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</row>
    <row r="4057" spans="5:30" ht="15">
      <c r="E4057" s="9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</row>
    <row r="4058" spans="5:30" ht="15">
      <c r="E4058" s="9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</row>
    <row r="4059" spans="5:30" ht="15">
      <c r="E4059" s="9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</row>
    <row r="4060" spans="5:30" ht="15">
      <c r="E4060" s="9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</row>
    <row r="4061" spans="5:30" ht="15">
      <c r="E4061" s="9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</row>
    <row r="4062" spans="5:30" ht="15">
      <c r="E4062" s="9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</row>
    <row r="4063" spans="5:30" ht="15">
      <c r="E4063" s="9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</row>
    <row r="4064" spans="5:30" ht="15">
      <c r="E4064" s="9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</row>
    <row r="4065" spans="5:30" ht="15">
      <c r="E4065" s="9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</row>
    <row r="4066" spans="5:30" ht="15">
      <c r="E4066" s="9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</row>
    <row r="4067" spans="5:30" ht="15">
      <c r="E4067" s="9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</row>
    <row r="4068" spans="5:30" ht="15">
      <c r="E4068" s="9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</row>
    <row r="4069" spans="5:30" ht="15">
      <c r="E4069" s="9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</row>
    <row r="4070" spans="5:30" ht="15">
      <c r="E4070" s="9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</row>
    <row r="4071" spans="5:30" ht="15">
      <c r="E4071" s="9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</row>
    <row r="4072" spans="5:30" ht="15">
      <c r="E4072" s="9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</row>
    <row r="4073" spans="5:30" ht="15">
      <c r="E4073" s="9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</row>
    <row r="4074" spans="5:30" ht="15">
      <c r="E4074" s="9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</row>
    <row r="4075" spans="5:30" ht="15">
      <c r="E4075" s="9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</row>
    <row r="4076" spans="5:30" ht="15">
      <c r="E4076" s="9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</row>
    <row r="4077" spans="5:30" ht="15">
      <c r="E4077" s="9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</row>
    <row r="4078" spans="5:30" ht="15">
      <c r="E4078" s="9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</row>
    <row r="4079" spans="5:30" ht="15">
      <c r="E4079" s="9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</row>
    <row r="4080" spans="5:30" ht="15">
      <c r="E4080" s="9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</row>
    <row r="4081" spans="5:30" ht="15">
      <c r="E4081" s="9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</row>
    <row r="4082" spans="5:30" ht="15">
      <c r="E4082" s="9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</row>
    <row r="4083" spans="5:30" ht="15">
      <c r="E4083" s="9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</row>
    <row r="4084" spans="5:30" ht="15">
      <c r="E4084" s="9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</row>
    <row r="4085" spans="5:30" ht="15">
      <c r="E4085" s="9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</row>
    <row r="4086" spans="5:30" ht="15">
      <c r="E4086" s="9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</row>
    <row r="4087" spans="5:30" ht="15">
      <c r="E4087" s="9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</row>
    <row r="4088" spans="5:30" ht="15">
      <c r="E4088" s="9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</row>
    <row r="4089" spans="5:30" ht="15">
      <c r="E4089" s="9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</row>
    <row r="4090" spans="5:30" ht="15">
      <c r="E4090" s="9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</row>
    <row r="4091" spans="5:30" ht="15">
      <c r="E4091" s="9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</row>
    <row r="4092" spans="5:30" ht="15">
      <c r="E4092" s="9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</row>
    <row r="4093" spans="5:30" ht="15">
      <c r="E4093" s="9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</row>
    <row r="4094" spans="5:30" ht="15">
      <c r="E4094" s="9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</row>
    <row r="4095" spans="5:30" ht="15">
      <c r="E4095" s="9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</row>
    <row r="4096" spans="5:30" ht="15">
      <c r="E4096" s="9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</row>
    <row r="4097" spans="5:30" ht="15">
      <c r="E4097" s="9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</row>
    <row r="4098" spans="5:30" ht="15">
      <c r="E4098" s="9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</row>
    <row r="4099" spans="5:30" ht="15">
      <c r="E4099" s="9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</row>
    <row r="4100" spans="5:30" ht="15">
      <c r="E4100" s="9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</row>
    <row r="4101" spans="5:30" ht="15">
      <c r="E4101" s="9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</row>
    <row r="4102" spans="5:30" ht="15">
      <c r="E4102" s="9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</row>
    <row r="4103" spans="5:30" ht="15">
      <c r="E4103" s="9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</row>
    <row r="4104" spans="5:30" ht="15">
      <c r="E4104" s="9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</row>
    <row r="4105" spans="5:30" ht="15">
      <c r="E4105" s="9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</row>
    <row r="4106" spans="5:30" ht="15">
      <c r="E4106" s="9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</row>
    <row r="4107" spans="5:30" ht="15">
      <c r="E4107" s="9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</row>
    <row r="4108" spans="5:30" ht="15">
      <c r="E4108" s="9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</row>
    <row r="4109" spans="5:30" ht="15">
      <c r="E4109" s="9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</row>
    <row r="4110" spans="5:30" ht="15">
      <c r="E4110" s="9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</row>
    <row r="4111" spans="5:30" ht="15">
      <c r="E4111" s="9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</row>
    <row r="4112" spans="5:30" ht="15">
      <c r="E4112" s="9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</row>
    <row r="4113" spans="5:30" ht="15">
      <c r="E4113" s="9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</row>
    <row r="4114" spans="5:30" ht="15">
      <c r="E4114" s="9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</row>
    <row r="4115" spans="5:30" ht="15">
      <c r="E4115" s="9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</row>
    <row r="4116" spans="5:30" ht="15">
      <c r="E4116" s="9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</row>
    <row r="4117" spans="5:30" ht="15">
      <c r="E4117" s="9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</row>
    <row r="4118" spans="5:30" ht="15">
      <c r="E4118" s="9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</row>
    <row r="4119" spans="5:30" ht="15">
      <c r="E4119" s="9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</row>
    <row r="4120" spans="5:30" ht="15">
      <c r="E4120" s="9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</row>
    <row r="4121" spans="5:30" ht="15">
      <c r="E4121" s="9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</row>
    <row r="4122" spans="5:30" ht="15">
      <c r="E4122" s="9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</row>
    <row r="4123" spans="5:30" ht="15">
      <c r="E4123" s="9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</row>
    <row r="4124" spans="5:30" ht="15">
      <c r="E4124" s="9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</row>
    <row r="4125" spans="5:30" ht="15">
      <c r="E4125" s="9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</row>
    <row r="4126" spans="5:30" ht="15">
      <c r="E4126" s="9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</row>
    <row r="4127" spans="5:30" ht="15">
      <c r="E4127" s="9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</row>
    <row r="4128" spans="5:30" ht="15">
      <c r="E4128" s="9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</row>
    <row r="4129" spans="5:30" ht="15">
      <c r="E4129" s="9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</row>
    <row r="4130" spans="5:30" ht="15">
      <c r="E4130" s="9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</row>
    <row r="4131" spans="5:30" ht="15">
      <c r="E4131" s="9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</row>
    <row r="4132" spans="5:30" ht="15">
      <c r="E4132" s="9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</row>
    <row r="4133" spans="5:30" ht="15">
      <c r="E4133" s="9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</row>
    <row r="4134" spans="5:30" ht="15">
      <c r="E4134" s="9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</row>
    <row r="4135" spans="5:30" ht="15">
      <c r="E4135" s="9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</row>
    <row r="4136" spans="5:30" ht="15">
      <c r="E4136" s="9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</row>
    <row r="4137" spans="5:30" ht="15">
      <c r="E4137" s="9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</row>
    <row r="4138" spans="5:30" ht="15">
      <c r="E4138" s="9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</row>
    <row r="4139" spans="5:30" ht="15">
      <c r="E4139" s="9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</row>
    <row r="4140" spans="5:30" ht="15">
      <c r="E4140" s="9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</row>
    <row r="4141" spans="5:30" ht="15">
      <c r="E4141" s="9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</row>
    <row r="4142" spans="5:30" ht="15">
      <c r="E4142" s="9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</row>
    <row r="4143" spans="5:30" ht="15">
      <c r="E4143" s="9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</row>
    <row r="4144" spans="5:30" ht="15">
      <c r="E4144" s="9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</row>
    <row r="4145" spans="5:30" ht="15">
      <c r="E4145" s="9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</row>
    <row r="4146" spans="5:30" ht="15">
      <c r="E4146" s="9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</row>
    <row r="4147" spans="5:30" ht="15">
      <c r="E4147" s="9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</row>
    <row r="4148" spans="5:30" ht="15">
      <c r="E4148" s="9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</row>
    <row r="4149" spans="5:30" ht="15">
      <c r="E4149" s="9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</row>
    <row r="4150" spans="5:30" ht="15">
      <c r="E4150" s="9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</row>
    <row r="4151" spans="5:30" ht="15">
      <c r="E4151" s="9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</row>
    <row r="4152" spans="5:30" ht="15">
      <c r="E4152" s="9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</row>
    <row r="4153" spans="5:30" ht="15">
      <c r="E4153" s="9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</row>
    <row r="4154" spans="5:30" ht="15">
      <c r="E4154" s="9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</row>
    <row r="4155" spans="5:30" ht="15">
      <c r="E4155" s="9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</row>
    <row r="4156" spans="5:30" ht="15">
      <c r="E4156" s="9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</row>
    <row r="4157" spans="5:30" ht="15">
      <c r="E4157" s="9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</row>
    <row r="4158" spans="5:30" ht="15">
      <c r="E4158" s="9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</row>
    <row r="4159" spans="5:30" ht="15">
      <c r="E4159" s="9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</row>
    <row r="4160" spans="5:30" ht="15">
      <c r="E4160" s="9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</row>
    <row r="4161" spans="5:30" ht="15">
      <c r="E4161" s="9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</row>
    <row r="4162" spans="5:30" ht="15">
      <c r="E4162" s="9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</row>
    <row r="4163" spans="5:30" ht="15">
      <c r="E4163" s="9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</row>
    <row r="4164" spans="5:30" ht="15">
      <c r="E4164" s="9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</row>
    <row r="4165" spans="5:30" ht="15">
      <c r="E4165" s="9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</row>
    <row r="4166" spans="5:30" ht="15">
      <c r="E4166" s="9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</row>
    <row r="4167" spans="5:30" ht="15">
      <c r="E4167" s="9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</row>
    <row r="4168" spans="5:30" ht="15">
      <c r="E4168" s="9"/>
      <c r="F4168" s="5"/>
      <c r="G4168" s="5"/>
      <c r="H4168" s="5"/>
      <c r="I4168" s="5"/>
      <c r="J4168" s="5"/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</row>
    <row r="4169" spans="5:30" ht="15">
      <c r="E4169" s="9"/>
      <c r="F4169" s="5"/>
      <c r="G4169" s="5"/>
      <c r="H4169" s="5"/>
      <c r="I4169" s="5"/>
      <c r="J4169" s="5"/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</row>
    <row r="4170" spans="5:30" ht="15">
      <c r="E4170" s="9"/>
      <c r="F4170" s="5"/>
      <c r="G4170" s="5"/>
      <c r="H4170" s="5"/>
      <c r="I4170" s="5"/>
      <c r="J4170" s="5"/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</row>
    <row r="4171" spans="5:30" ht="15">
      <c r="E4171" s="9"/>
      <c r="F4171" s="5"/>
      <c r="G4171" s="5"/>
      <c r="H4171" s="5"/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</row>
    <row r="4172" spans="5:30" ht="15">
      <c r="E4172" s="9"/>
      <c r="F4172" s="5"/>
      <c r="G4172" s="5"/>
      <c r="H4172" s="5"/>
      <c r="I4172" s="5"/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</row>
    <row r="4173" spans="5:30" ht="15">
      <c r="E4173" s="9"/>
      <c r="F4173" s="5"/>
      <c r="G4173" s="5"/>
      <c r="H4173" s="5"/>
      <c r="I4173" s="5"/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</row>
    <row r="4174" spans="5:30" ht="15">
      <c r="E4174" s="9"/>
      <c r="F4174" s="5"/>
      <c r="G4174" s="5"/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</row>
    <row r="4175" spans="5:30" ht="15">
      <c r="E4175" s="9"/>
      <c r="F4175" s="5"/>
      <c r="G4175" s="5"/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</row>
    <row r="4176" spans="5:30" ht="15">
      <c r="E4176" s="9"/>
      <c r="F4176" s="5"/>
      <c r="G4176" s="5"/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</row>
    <row r="4177" spans="5:30" ht="15">
      <c r="E4177" s="9"/>
      <c r="F4177" s="5"/>
      <c r="G4177" s="5"/>
      <c r="H4177" s="5"/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</row>
    <row r="4178" spans="5:30" ht="15">
      <c r="E4178" s="9"/>
      <c r="F4178" s="5"/>
      <c r="G4178" s="5"/>
      <c r="H4178" s="5"/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</row>
    <row r="4179" spans="5:30" ht="15">
      <c r="E4179" s="9"/>
      <c r="F4179" s="5"/>
      <c r="G4179" s="5"/>
      <c r="H4179" s="5"/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</row>
    <row r="4180" spans="5:30" ht="15">
      <c r="E4180" s="9"/>
      <c r="F4180" s="5"/>
      <c r="G4180" s="5"/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</row>
    <row r="4181" spans="5:30" ht="15">
      <c r="E4181" s="9"/>
      <c r="F4181" s="5"/>
      <c r="G4181" s="5"/>
      <c r="H4181" s="5"/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</row>
    <row r="4182" spans="5:30" ht="15">
      <c r="E4182" s="9"/>
      <c r="F4182" s="5"/>
      <c r="G4182" s="5"/>
      <c r="H4182" s="5"/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</row>
    <row r="4183" spans="5:30" ht="15">
      <c r="E4183" s="9"/>
      <c r="F4183" s="5"/>
      <c r="G4183" s="5"/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</row>
    <row r="4184" spans="5:30" ht="15">
      <c r="E4184" s="9"/>
      <c r="F4184" s="5"/>
      <c r="G4184" s="5"/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</row>
    <row r="4185" spans="5:30" ht="15">
      <c r="E4185" s="9"/>
      <c r="F4185" s="5"/>
      <c r="G4185" s="5"/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</row>
    <row r="4186" spans="5:30" ht="15">
      <c r="E4186" s="9"/>
      <c r="F4186" s="5"/>
      <c r="G4186" s="5"/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</row>
    <row r="4187" spans="5:30" ht="15">
      <c r="E4187" s="9"/>
      <c r="F4187" s="5"/>
      <c r="G4187" s="5"/>
      <c r="H4187" s="5"/>
      <c r="I4187" s="5"/>
      <c r="J4187" s="5"/>
      <c r="K4187" s="5"/>
      <c r="L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</row>
    <row r="4188" spans="5:30" ht="15">
      <c r="E4188" s="9"/>
      <c r="F4188" s="5"/>
      <c r="G4188" s="5"/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</row>
    <row r="4189" spans="5:30" ht="15">
      <c r="E4189" s="9"/>
      <c r="F4189" s="5"/>
      <c r="G4189" s="5"/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</row>
    <row r="4190" spans="5:30" ht="15">
      <c r="E4190" s="9"/>
      <c r="F4190" s="5"/>
      <c r="G4190" s="5"/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</row>
    <row r="4191" spans="5:30" ht="15">
      <c r="E4191" s="9"/>
      <c r="F4191" s="5"/>
      <c r="G4191" s="5"/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</row>
    <row r="4192" spans="5:30" ht="15">
      <c r="E4192" s="9"/>
      <c r="F4192" s="5"/>
      <c r="G4192" s="5"/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</row>
    <row r="4193" spans="5:30" ht="15">
      <c r="E4193" s="9"/>
      <c r="F4193" s="5"/>
      <c r="G4193" s="5"/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</row>
    <row r="4194" spans="5:30" ht="15">
      <c r="E4194" s="9"/>
      <c r="F4194" s="5"/>
      <c r="G4194" s="5"/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</row>
    <row r="4195" spans="5:30" ht="15">
      <c r="E4195" s="9"/>
      <c r="F4195" s="5"/>
      <c r="G4195" s="5"/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</row>
    <row r="4196" spans="5:30" ht="15">
      <c r="E4196" s="9"/>
      <c r="F4196" s="5"/>
      <c r="G4196" s="5"/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</row>
    <row r="4197" spans="5:30" ht="15">
      <c r="E4197" s="9"/>
      <c r="F4197" s="5"/>
      <c r="G4197" s="5"/>
      <c r="H4197" s="5"/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</row>
    <row r="4198" spans="5:30" ht="15">
      <c r="E4198" s="9"/>
      <c r="F4198" s="5"/>
      <c r="G4198" s="5"/>
      <c r="H4198" s="5"/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</row>
    <row r="4199" spans="5:30" ht="15">
      <c r="E4199" s="9"/>
      <c r="F4199" s="5"/>
      <c r="G4199" s="5"/>
      <c r="H4199" s="5"/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</row>
    <row r="4200" spans="5:30" ht="15">
      <c r="E4200" s="9"/>
      <c r="F4200" s="5"/>
      <c r="G4200" s="5"/>
      <c r="H4200" s="5"/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</row>
    <row r="4201" spans="5:30" ht="15">
      <c r="E4201" s="9"/>
      <c r="F4201" s="5"/>
      <c r="G4201" s="5"/>
      <c r="H4201" s="5"/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</row>
    <row r="4202" spans="5:30" ht="15">
      <c r="E4202" s="9"/>
      <c r="F4202" s="5"/>
      <c r="G4202" s="5"/>
      <c r="H4202" s="5"/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</row>
    <row r="4203" spans="5:30" ht="15">
      <c r="E4203" s="9"/>
      <c r="F4203" s="5"/>
      <c r="G4203" s="5"/>
      <c r="H4203" s="5"/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</row>
    <row r="4204" spans="5:30" ht="15">
      <c r="E4204" s="9"/>
      <c r="F4204" s="5"/>
      <c r="G4204" s="5"/>
      <c r="H4204" s="5"/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</row>
    <row r="4205" spans="5:30" ht="15">
      <c r="E4205" s="9"/>
      <c r="F4205" s="5"/>
      <c r="G4205" s="5"/>
      <c r="H4205" s="5"/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</row>
    <row r="4206" spans="5:30" ht="15">
      <c r="E4206" s="9"/>
      <c r="F4206" s="5"/>
      <c r="G4206" s="5"/>
      <c r="H4206" s="5"/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</row>
    <row r="4207" spans="5:30" ht="15">
      <c r="E4207" s="9"/>
      <c r="F4207" s="5"/>
      <c r="G4207" s="5"/>
      <c r="H4207" s="5"/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</row>
    <row r="4208" spans="5:30" ht="15">
      <c r="E4208" s="9"/>
      <c r="F4208" s="5"/>
      <c r="G4208" s="5"/>
      <c r="H4208" s="5"/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</row>
    <row r="4209" spans="5:30" ht="15">
      <c r="E4209" s="9"/>
      <c r="F4209" s="5"/>
      <c r="G4209" s="5"/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</row>
    <row r="4210" spans="5:30" ht="15">
      <c r="E4210" s="9"/>
      <c r="F4210" s="5"/>
      <c r="G4210" s="5"/>
      <c r="H4210" s="5"/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</row>
    <row r="4211" spans="5:30" ht="15">
      <c r="E4211" s="9"/>
      <c r="F4211" s="5"/>
      <c r="G4211" s="5"/>
      <c r="H4211" s="5"/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</row>
    <row r="4212" spans="5:30" ht="15">
      <c r="E4212" s="9"/>
      <c r="F4212" s="5"/>
      <c r="G4212" s="5"/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</row>
    <row r="4213" spans="5:30" ht="15">
      <c r="E4213" s="9"/>
      <c r="F4213" s="5"/>
      <c r="G4213" s="5"/>
      <c r="H4213" s="5"/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</row>
    <row r="4214" spans="5:30" ht="15">
      <c r="E4214" s="9"/>
      <c r="F4214" s="5"/>
      <c r="G4214" s="5"/>
      <c r="H4214" s="5"/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</row>
    <row r="4215" spans="5:30" ht="15">
      <c r="E4215" s="9"/>
      <c r="F4215" s="5"/>
      <c r="G4215" s="5"/>
      <c r="H4215" s="5"/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</row>
    <row r="4216" spans="5:30" ht="15">
      <c r="E4216" s="9"/>
      <c r="F4216" s="5"/>
      <c r="G4216" s="5"/>
      <c r="H4216" s="5"/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</row>
    <row r="4217" spans="5:30" ht="15">
      <c r="E4217" s="9"/>
      <c r="F4217" s="5"/>
      <c r="G4217" s="5"/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</row>
    <row r="4218" spans="5:30" ht="15">
      <c r="E4218" s="9"/>
      <c r="F4218" s="5"/>
      <c r="G4218" s="5"/>
      <c r="H4218" s="5"/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</row>
    <row r="4219" spans="5:30" ht="15">
      <c r="E4219" s="9"/>
      <c r="F4219" s="5"/>
      <c r="G4219" s="5"/>
      <c r="H4219" s="5"/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</row>
    <row r="4220" spans="5:30" ht="15">
      <c r="E4220" s="9"/>
      <c r="F4220" s="5"/>
      <c r="G4220" s="5"/>
      <c r="H4220" s="5"/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</row>
    <row r="4221" spans="5:30" ht="15">
      <c r="E4221" s="9"/>
      <c r="F4221" s="5"/>
      <c r="G4221" s="5"/>
      <c r="H4221" s="5"/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</row>
    <row r="4222" spans="5:30" ht="15">
      <c r="E4222" s="9"/>
      <c r="F4222" s="5"/>
      <c r="G4222" s="5"/>
      <c r="H4222" s="5"/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</row>
    <row r="4223" spans="5:30" ht="15">
      <c r="E4223" s="9"/>
      <c r="F4223" s="5"/>
      <c r="G4223" s="5"/>
      <c r="H4223" s="5"/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</row>
    <row r="4224" spans="5:30" ht="15">
      <c r="E4224" s="9"/>
      <c r="F4224" s="5"/>
      <c r="G4224" s="5"/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</row>
    <row r="4225" spans="5:30" ht="15">
      <c r="E4225" s="9"/>
      <c r="F4225" s="5"/>
      <c r="G4225" s="5"/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</row>
    <row r="4226" spans="5:30" ht="15">
      <c r="E4226" s="9"/>
      <c r="F4226" s="5"/>
      <c r="G4226" s="5"/>
      <c r="H4226" s="5"/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</row>
    <row r="4227" spans="5:30" ht="15">
      <c r="E4227" s="9"/>
      <c r="F4227" s="5"/>
      <c r="G4227" s="5"/>
      <c r="H4227" s="5"/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</row>
    <row r="4228" spans="5:30" ht="15">
      <c r="E4228" s="9"/>
      <c r="F4228" s="5"/>
      <c r="G4228" s="5"/>
      <c r="H4228" s="5"/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</row>
    <row r="4229" spans="5:30" ht="15">
      <c r="E4229" s="9"/>
      <c r="F4229" s="5"/>
      <c r="G4229" s="5"/>
      <c r="H4229" s="5"/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</row>
    <row r="4230" spans="5:30" ht="15">
      <c r="E4230" s="9"/>
      <c r="F4230" s="5"/>
      <c r="G4230" s="5"/>
      <c r="H4230" s="5"/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</row>
    <row r="4231" spans="5:30" ht="15">
      <c r="E4231" s="9"/>
      <c r="F4231" s="5"/>
      <c r="G4231" s="5"/>
      <c r="H4231" s="5"/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</row>
    <row r="4232" spans="5:30" ht="15">
      <c r="E4232" s="9"/>
      <c r="F4232" s="5"/>
      <c r="G4232" s="5"/>
      <c r="H4232" s="5"/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</row>
    <row r="4233" spans="5:30" ht="15">
      <c r="E4233" s="9"/>
      <c r="F4233" s="5"/>
      <c r="G4233" s="5"/>
      <c r="H4233" s="5"/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</row>
    <row r="4234" spans="5:30" ht="15">
      <c r="E4234" s="9"/>
      <c r="F4234" s="5"/>
      <c r="G4234" s="5"/>
      <c r="H4234" s="5"/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</row>
    <row r="4235" spans="5:30" ht="15">
      <c r="E4235" s="9"/>
      <c r="F4235" s="5"/>
      <c r="G4235" s="5"/>
      <c r="H4235" s="5"/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</row>
    <row r="4236" spans="5:30" ht="15">
      <c r="E4236" s="9"/>
      <c r="F4236" s="5"/>
      <c r="G4236" s="5"/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</row>
    <row r="4237" spans="5:30" ht="15">
      <c r="E4237" s="9"/>
      <c r="F4237" s="5"/>
      <c r="G4237" s="5"/>
      <c r="H4237" s="5"/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</row>
    <row r="4238" spans="5:30" ht="15">
      <c r="E4238" s="9"/>
      <c r="F4238" s="5"/>
      <c r="G4238" s="5"/>
      <c r="H4238" s="5"/>
      <c r="I4238" s="5"/>
      <c r="J4238" s="5"/>
      <c r="K4238" s="5"/>
      <c r="L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</row>
    <row r="4239" spans="5:30" ht="15">
      <c r="E4239" s="9"/>
      <c r="F4239" s="5"/>
      <c r="G4239" s="5"/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</row>
    <row r="4240" spans="5:30" ht="15">
      <c r="E4240" s="9"/>
      <c r="F4240" s="5"/>
      <c r="G4240" s="5"/>
      <c r="H4240" s="5"/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</row>
    <row r="4241" spans="5:30" ht="15">
      <c r="E4241" s="9"/>
      <c r="F4241" s="5"/>
      <c r="G4241" s="5"/>
      <c r="H4241" s="5"/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</row>
    <row r="4242" spans="5:30" ht="15">
      <c r="E4242" s="9"/>
      <c r="F4242" s="5"/>
      <c r="G4242" s="5"/>
      <c r="H4242" s="5"/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</row>
    <row r="4243" spans="5:30" ht="15">
      <c r="E4243" s="9"/>
      <c r="F4243" s="5"/>
      <c r="G4243" s="5"/>
      <c r="H4243" s="5"/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</row>
    <row r="4244" spans="5:30" ht="15">
      <c r="E4244" s="9"/>
      <c r="F4244" s="5"/>
      <c r="G4244" s="5"/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</row>
    <row r="4245" spans="5:30" ht="15">
      <c r="E4245" s="9"/>
      <c r="F4245" s="5"/>
      <c r="G4245" s="5"/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</row>
    <row r="4246" spans="5:30" ht="15">
      <c r="E4246" s="9"/>
      <c r="F4246" s="5"/>
      <c r="G4246" s="5"/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</row>
    <row r="4247" spans="5:30" ht="15">
      <c r="E4247" s="9"/>
      <c r="F4247" s="5"/>
      <c r="G4247" s="5"/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</row>
    <row r="4248" spans="5:30" ht="15">
      <c r="E4248" s="9"/>
      <c r="F4248" s="5"/>
      <c r="G4248" s="5"/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</row>
    <row r="4249" spans="5:30" ht="15">
      <c r="E4249" s="9"/>
      <c r="F4249" s="5"/>
      <c r="G4249" s="5"/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</row>
    <row r="4250" spans="5:30" ht="15">
      <c r="E4250" s="9"/>
      <c r="F4250" s="5"/>
      <c r="G4250" s="5"/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</row>
    <row r="4251" spans="5:30" ht="15">
      <c r="E4251" s="9"/>
      <c r="F4251" s="5"/>
      <c r="G4251" s="5"/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</row>
    <row r="4252" spans="5:30" ht="15">
      <c r="E4252" s="9"/>
      <c r="F4252" s="5"/>
      <c r="G4252" s="5"/>
      <c r="H4252" s="5"/>
      <c r="I4252" s="5"/>
      <c r="J4252" s="5"/>
      <c r="K4252" s="5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</row>
    <row r="4253" spans="5:30" ht="15">
      <c r="E4253" s="9"/>
      <c r="F4253" s="5"/>
      <c r="G4253" s="5"/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</row>
    <row r="4254" spans="5:30" ht="15">
      <c r="E4254" s="9"/>
      <c r="F4254" s="5"/>
      <c r="G4254" s="5"/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</row>
    <row r="4255" spans="5:30" ht="15">
      <c r="E4255" s="9"/>
      <c r="F4255" s="5"/>
      <c r="G4255" s="5"/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</row>
    <row r="4256" spans="5:30" ht="15">
      <c r="E4256" s="9"/>
      <c r="F4256" s="5"/>
      <c r="G4256" s="5"/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</row>
    <row r="4257" spans="5:30" ht="15">
      <c r="E4257" s="9"/>
      <c r="F4257" s="5"/>
      <c r="G4257" s="5"/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</row>
    <row r="4258" spans="5:30" ht="15">
      <c r="E4258" s="9"/>
      <c r="F4258" s="5"/>
      <c r="G4258" s="5"/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</row>
    <row r="4259" spans="5:30" ht="15">
      <c r="E4259" s="9"/>
      <c r="F4259" s="5"/>
      <c r="G4259" s="5"/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</row>
    <row r="4260" spans="5:30" ht="15">
      <c r="E4260" s="9"/>
      <c r="F4260" s="5"/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</row>
    <row r="4261" spans="5:30" ht="15">
      <c r="E4261" s="9"/>
      <c r="F4261" s="5"/>
      <c r="G4261" s="5"/>
      <c r="H4261" s="5"/>
      <c r="I4261" s="5"/>
      <c r="J4261" s="5"/>
      <c r="K4261" s="5"/>
      <c r="L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</row>
    <row r="4262" spans="5:30" ht="15">
      <c r="E4262" s="9"/>
      <c r="F4262" s="5"/>
      <c r="G4262" s="5"/>
      <c r="H4262" s="5"/>
      <c r="I4262" s="5"/>
      <c r="J4262" s="5"/>
      <c r="K4262" s="5"/>
      <c r="L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</row>
    <row r="4263" spans="5:30" ht="15">
      <c r="E4263" s="9"/>
      <c r="F4263" s="5"/>
      <c r="G4263" s="5"/>
      <c r="H4263" s="5"/>
      <c r="I4263" s="5"/>
      <c r="J4263" s="5"/>
      <c r="K4263" s="5"/>
      <c r="L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</row>
    <row r="4264" spans="5:30" ht="15">
      <c r="E4264" s="9"/>
      <c r="F4264" s="5"/>
      <c r="G4264" s="5"/>
      <c r="H4264" s="5"/>
      <c r="I4264" s="5"/>
      <c r="J4264" s="5"/>
      <c r="K4264" s="5"/>
      <c r="L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</row>
    <row r="4265" spans="5:30" ht="15">
      <c r="E4265" s="9"/>
      <c r="F4265" s="5"/>
      <c r="G4265" s="5"/>
      <c r="H4265" s="5"/>
      <c r="I4265" s="5"/>
      <c r="J4265" s="5"/>
      <c r="K4265" s="5"/>
      <c r="L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</row>
    <row r="4266" spans="5:30" ht="15">
      <c r="E4266" s="9"/>
      <c r="F4266" s="5"/>
      <c r="G4266" s="5"/>
      <c r="H4266" s="5"/>
      <c r="I4266" s="5"/>
      <c r="J4266" s="5"/>
      <c r="K4266" s="5"/>
      <c r="L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</row>
    <row r="4267" spans="5:30" ht="15">
      <c r="E4267" s="9"/>
      <c r="F4267" s="5"/>
      <c r="G4267" s="5"/>
      <c r="H4267" s="5"/>
      <c r="I4267" s="5"/>
      <c r="J4267" s="5"/>
      <c r="K4267" s="5"/>
      <c r="L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</row>
    <row r="4268" spans="5:30" ht="15">
      <c r="E4268" s="9"/>
      <c r="F4268" s="5"/>
      <c r="G4268" s="5"/>
      <c r="H4268" s="5"/>
      <c r="I4268" s="5"/>
      <c r="J4268" s="5"/>
      <c r="K4268" s="5"/>
      <c r="L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</row>
    <row r="4269" spans="5:30" ht="15">
      <c r="E4269" s="9"/>
      <c r="F4269" s="5"/>
      <c r="G4269" s="5"/>
      <c r="H4269" s="5"/>
      <c r="I4269" s="5"/>
      <c r="J4269" s="5"/>
      <c r="K4269" s="5"/>
      <c r="L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</row>
    <row r="4270" spans="5:30" ht="15">
      <c r="E4270" s="9"/>
      <c r="F4270" s="5"/>
      <c r="G4270" s="5"/>
      <c r="H4270" s="5"/>
      <c r="I4270" s="5"/>
      <c r="J4270" s="5"/>
      <c r="K4270" s="5"/>
      <c r="L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</row>
    <row r="4271" spans="5:30" ht="15">
      <c r="E4271" s="9"/>
      <c r="F4271" s="5"/>
      <c r="G4271" s="5"/>
      <c r="H4271" s="5"/>
      <c r="I4271" s="5"/>
      <c r="J4271" s="5"/>
      <c r="K4271" s="5"/>
      <c r="L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</row>
    <row r="4272" spans="5:30" ht="15">
      <c r="E4272" s="9"/>
      <c r="F4272" s="5"/>
      <c r="G4272" s="5"/>
      <c r="H4272" s="5"/>
      <c r="I4272" s="5"/>
      <c r="J4272" s="5"/>
      <c r="K4272" s="5"/>
      <c r="L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</row>
    <row r="4273" spans="5:30" ht="15">
      <c r="E4273" s="9"/>
      <c r="F4273" s="5"/>
      <c r="G4273" s="5"/>
      <c r="H4273" s="5"/>
      <c r="I4273" s="5"/>
      <c r="J4273" s="5"/>
      <c r="K4273" s="5"/>
      <c r="L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</row>
    <row r="4274" spans="5:30" ht="15">
      <c r="E4274" s="9"/>
      <c r="F4274" s="5"/>
      <c r="G4274" s="5"/>
      <c r="H4274" s="5"/>
      <c r="I4274" s="5"/>
      <c r="J4274" s="5"/>
      <c r="K4274" s="5"/>
      <c r="L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</row>
    <row r="4275" spans="5:30" ht="15">
      <c r="E4275" s="9"/>
      <c r="F4275" s="5"/>
      <c r="G4275" s="5"/>
      <c r="H4275" s="5"/>
      <c r="I4275" s="5"/>
      <c r="J4275" s="5"/>
      <c r="K4275" s="5"/>
      <c r="L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</row>
    <row r="4276" spans="5:30" ht="15">
      <c r="E4276" s="9"/>
      <c r="F4276" s="5"/>
      <c r="G4276" s="5"/>
      <c r="H4276" s="5"/>
      <c r="I4276" s="5"/>
      <c r="J4276" s="5"/>
      <c r="K4276" s="5"/>
      <c r="L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</row>
    <row r="4277" spans="5:30" ht="15">
      <c r="E4277" s="9"/>
      <c r="F4277" s="5"/>
      <c r="G4277" s="5"/>
      <c r="H4277" s="5"/>
      <c r="I4277" s="5"/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</row>
    <row r="4278" spans="5:30" ht="15">
      <c r="E4278" s="9"/>
      <c r="F4278" s="5"/>
      <c r="G4278" s="5"/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</row>
    <row r="4279" spans="5:30" ht="15">
      <c r="E4279" s="9"/>
      <c r="F4279" s="5"/>
      <c r="G4279" s="5"/>
      <c r="H4279" s="5"/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</row>
    <row r="4280" spans="5:30" ht="15">
      <c r="E4280" s="9"/>
      <c r="F4280" s="5"/>
      <c r="G4280" s="5"/>
      <c r="H4280" s="5"/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</row>
    <row r="4281" spans="5:30" ht="15">
      <c r="E4281" s="9"/>
      <c r="F4281" s="5"/>
      <c r="G4281" s="5"/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</row>
    <row r="4282" spans="5:30" ht="15">
      <c r="E4282" s="9"/>
      <c r="F4282" s="5"/>
      <c r="G4282" s="5"/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</row>
    <row r="4283" spans="5:30" ht="15">
      <c r="E4283" s="9"/>
      <c r="F4283" s="5"/>
      <c r="G4283" s="5"/>
      <c r="H4283" s="5"/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</row>
    <row r="4284" spans="5:30" ht="15">
      <c r="E4284" s="9"/>
      <c r="F4284" s="5"/>
      <c r="G4284" s="5"/>
      <c r="H4284" s="5"/>
      <c r="I4284" s="5"/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</row>
    <row r="4285" spans="5:30" ht="15">
      <c r="E4285" s="9"/>
      <c r="F4285" s="5"/>
      <c r="G4285" s="5"/>
      <c r="H4285" s="5"/>
      <c r="I4285" s="5"/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</row>
    <row r="4286" spans="5:30" ht="15">
      <c r="E4286" s="9"/>
      <c r="F4286" s="5"/>
      <c r="G4286" s="5"/>
      <c r="H4286" s="5"/>
      <c r="I4286" s="5"/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</row>
    <row r="4287" spans="5:30" ht="15">
      <c r="E4287" s="9"/>
      <c r="F4287" s="5"/>
      <c r="G4287" s="5"/>
      <c r="H4287" s="5"/>
      <c r="I4287" s="5"/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</row>
    <row r="4288" spans="5:30" ht="15">
      <c r="E4288" s="9"/>
      <c r="F4288" s="5"/>
      <c r="G4288" s="5"/>
      <c r="H4288" s="5"/>
      <c r="I4288" s="5"/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</row>
    <row r="4289" spans="5:30" ht="15">
      <c r="E4289" s="9"/>
      <c r="F4289" s="5"/>
      <c r="G4289" s="5"/>
      <c r="H4289" s="5"/>
      <c r="I4289" s="5"/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</row>
    <row r="4290" spans="5:30" ht="15">
      <c r="E4290" s="9"/>
      <c r="F4290" s="5"/>
      <c r="G4290" s="5"/>
      <c r="H4290" s="5"/>
      <c r="I4290" s="5"/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</row>
    <row r="4291" spans="5:30" ht="15">
      <c r="E4291" s="9"/>
      <c r="F4291" s="5"/>
      <c r="G4291" s="5"/>
      <c r="H4291" s="5"/>
      <c r="I4291" s="5"/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</row>
    <row r="4292" spans="5:30" ht="15">
      <c r="E4292" s="9"/>
      <c r="F4292" s="5"/>
      <c r="G4292" s="5"/>
      <c r="H4292" s="5"/>
      <c r="I4292" s="5"/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</row>
    <row r="4293" spans="5:30" ht="15">
      <c r="E4293" s="9"/>
      <c r="F4293" s="5"/>
      <c r="G4293" s="5"/>
      <c r="H4293" s="5"/>
      <c r="I4293" s="5"/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</row>
    <row r="4294" spans="5:30" ht="15">
      <c r="E4294" s="9"/>
      <c r="F4294" s="5"/>
      <c r="G4294" s="5"/>
      <c r="H4294" s="5"/>
      <c r="I4294" s="5"/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</row>
    <row r="4295" spans="5:30" ht="15">
      <c r="E4295" s="9"/>
      <c r="F4295" s="5"/>
      <c r="G4295" s="5"/>
      <c r="H4295" s="5"/>
      <c r="I4295" s="5"/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</row>
    <row r="4296" spans="5:30" ht="15">
      <c r="E4296" s="9"/>
      <c r="F4296" s="5"/>
      <c r="G4296" s="5"/>
      <c r="H4296" s="5"/>
      <c r="I4296" s="5"/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</row>
    <row r="4297" spans="5:30" ht="15">
      <c r="E4297" s="9"/>
      <c r="F4297" s="5"/>
      <c r="G4297" s="5"/>
      <c r="H4297" s="5"/>
      <c r="I4297" s="5"/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</row>
    <row r="4298" spans="5:30" ht="15">
      <c r="E4298" s="9"/>
      <c r="F4298" s="5"/>
      <c r="G4298" s="5"/>
      <c r="H4298" s="5"/>
      <c r="I4298" s="5"/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</row>
    <row r="4299" spans="5:30" ht="15">
      <c r="E4299" s="9"/>
      <c r="F4299" s="5"/>
      <c r="G4299" s="5"/>
      <c r="H4299" s="5"/>
      <c r="I4299" s="5"/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</row>
    <row r="4300" spans="5:30" ht="15">
      <c r="E4300" s="9"/>
      <c r="F4300" s="5"/>
      <c r="G4300" s="5"/>
      <c r="H4300" s="5"/>
      <c r="I4300" s="5"/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</row>
    <row r="4301" spans="5:30" ht="15">
      <c r="E4301" s="9"/>
      <c r="F4301" s="5"/>
      <c r="G4301" s="5"/>
      <c r="H4301" s="5"/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</row>
    <row r="4302" spans="5:30" ht="15">
      <c r="E4302" s="9"/>
      <c r="F4302" s="5"/>
      <c r="G4302" s="5"/>
      <c r="H4302" s="5"/>
      <c r="I4302" s="5"/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</row>
    <row r="4303" spans="5:30" ht="15">
      <c r="E4303" s="9"/>
      <c r="F4303" s="5"/>
      <c r="G4303" s="5"/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</row>
    <row r="4304" spans="5:30" ht="15">
      <c r="E4304" s="9"/>
      <c r="F4304" s="5"/>
      <c r="G4304" s="5"/>
      <c r="H4304" s="5"/>
      <c r="I4304" s="5"/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</row>
    <row r="4305" spans="5:30" ht="15">
      <c r="E4305" s="9"/>
      <c r="F4305" s="5"/>
      <c r="G4305" s="5"/>
      <c r="H4305" s="5"/>
      <c r="I4305" s="5"/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</row>
    <row r="4306" spans="5:30" ht="15">
      <c r="E4306" s="9"/>
      <c r="F4306" s="5"/>
      <c r="G4306" s="5"/>
      <c r="H4306" s="5"/>
      <c r="I4306" s="5"/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</row>
    <row r="4307" spans="5:30" ht="15">
      <c r="E4307" s="9"/>
      <c r="F4307" s="5"/>
      <c r="G4307" s="5"/>
      <c r="H4307" s="5"/>
      <c r="I4307" s="5"/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</row>
    <row r="4308" spans="5:30" ht="15">
      <c r="E4308" s="9"/>
      <c r="F4308" s="5"/>
      <c r="G4308" s="5"/>
      <c r="H4308" s="5"/>
      <c r="I4308" s="5"/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</row>
    <row r="4309" spans="5:30" ht="15">
      <c r="E4309" s="9"/>
      <c r="F4309" s="5"/>
      <c r="G4309" s="5"/>
      <c r="H4309" s="5"/>
      <c r="I4309" s="5"/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</row>
    <row r="4310" spans="5:30" ht="15">
      <c r="E4310" s="9"/>
      <c r="F4310" s="5"/>
      <c r="G4310" s="5"/>
      <c r="H4310" s="5"/>
      <c r="I4310" s="5"/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</row>
    <row r="4311" spans="5:30" ht="15">
      <c r="E4311" s="9"/>
      <c r="F4311" s="5"/>
      <c r="G4311" s="5"/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</row>
    <row r="4312" spans="5:30" ht="15">
      <c r="E4312" s="9"/>
      <c r="F4312" s="5"/>
      <c r="G4312" s="5"/>
      <c r="H4312" s="5"/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</row>
    <row r="4313" spans="5:30" ht="15">
      <c r="E4313" s="9"/>
      <c r="F4313" s="5"/>
      <c r="G4313" s="5"/>
      <c r="H4313" s="5"/>
      <c r="I4313" s="5"/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</row>
    <row r="4314" spans="5:30" ht="15">
      <c r="E4314" s="9"/>
      <c r="F4314" s="5"/>
      <c r="G4314" s="5"/>
      <c r="H4314" s="5"/>
      <c r="I4314" s="5"/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</row>
    <row r="4315" spans="5:30" ht="15">
      <c r="E4315" s="9"/>
      <c r="F4315" s="5"/>
      <c r="G4315" s="5"/>
      <c r="H4315" s="5"/>
      <c r="I4315" s="5"/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</row>
    <row r="4316" spans="5:30" ht="15">
      <c r="E4316" s="9"/>
      <c r="F4316" s="5"/>
      <c r="G4316" s="5"/>
      <c r="H4316" s="5"/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</row>
    <row r="4317" spans="5:30" ht="15">
      <c r="E4317" s="9"/>
      <c r="F4317" s="5"/>
      <c r="G4317" s="5"/>
      <c r="H4317" s="5"/>
      <c r="I4317" s="5"/>
      <c r="J4317" s="5"/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</row>
    <row r="4318" spans="5:30" ht="15">
      <c r="E4318" s="9"/>
      <c r="F4318" s="5"/>
      <c r="G4318" s="5"/>
      <c r="H4318" s="5"/>
      <c r="I4318" s="5"/>
      <c r="J4318" s="5"/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</row>
    <row r="4319" spans="5:30" ht="15">
      <c r="E4319" s="9"/>
      <c r="F4319" s="5"/>
      <c r="G4319" s="5"/>
      <c r="H4319" s="5"/>
      <c r="I4319" s="5"/>
      <c r="J4319" s="5"/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</row>
    <row r="4320" spans="5:30" ht="15">
      <c r="E4320" s="9"/>
      <c r="F4320" s="5"/>
      <c r="G4320" s="5"/>
      <c r="H4320" s="5"/>
      <c r="I4320" s="5"/>
      <c r="J4320" s="5"/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</row>
    <row r="4321" spans="5:30" ht="15">
      <c r="E4321" s="9"/>
      <c r="F4321" s="5"/>
      <c r="G4321" s="5"/>
      <c r="H4321" s="5"/>
      <c r="I4321" s="5"/>
      <c r="J4321" s="5"/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</row>
    <row r="4322" spans="5:30" ht="15">
      <c r="E4322" s="9"/>
      <c r="F4322" s="5"/>
      <c r="G4322" s="5"/>
      <c r="H4322" s="5"/>
      <c r="I4322" s="5"/>
      <c r="J4322" s="5"/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</row>
    <row r="4323" spans="5:30" ht="15">
      <c r="E4323" s="9"/>
      <c r="F4323" s="5"/>
      <c r="G4323" s="5"/>
      <c r="H4323" s="5"/>
      <c r="I4323" s="5"/>
      <c r="J4323" s="5"/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</row>
    <row r="4324" spans="5:30" ht="15">
      <c r="E4324" s="9"/>
      <c r="F4324" s="5"/>
      <c r="G4324" s="5"/>
      <c r="H4324" s="5"/>
      <c r="I4324" s="5"/>
      <c r="J4324" s="5"/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</row>
    <row r="4325" spans="5:30" ht="15">
      <c r="E4325" s="9"/>
      <c r="F4325" s="5"/>
      <c r="G4325" s="5"/>
      <c r="H4325" s="5"/>
      <c r="I4325" s="5"/>
      <c r="J4325" s="5"/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</row>
    <row r="4326" spans="5:30" ht="15">
      <c r="E4326" s="9"/>
      <c r="F4326" s="5"/>
      <c r="G4326" s="5"/>
      <c r="H4326" s="5"/>
      <c r="I4326" s="5"/>
      <c r="J4326" s="5"/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</row>
    <row r="4327" spans="5:30" ht="15">
      <c r="E4327" s="9"/>
      <c r="F4327" s="5"/>
      <c r="G4327" s="5"/>
      <c r="H4327" s="5"/>
      <c r="I4327" s="5"/>
      <c r="J4327" s="5"/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</row>
    <row r="4328" spans="5:30" ht="15">
      <c r="E4328" s="9"/>
      <c r="F4328" s="5"/>
      <c r="G4328" s="5"/>
      <c r="H4328" s="5"/>
      <c r="I4328" s="5"/>
      <c r="J4328" s="5"/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</row>
    <row r="4329" spans="5:30" ht="15">
      <c r="E4329" s="9"/>
      <c r="F4329" s="5"/>
      <c r="G4329" s="5"/>
      <c r="H4329" s="5"/>
      <c r="I4329" s="5"/>
      <c r="J4329" s="5"/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</row>
    <row r="4330" spans="5:30" ht="15">
      <c r="E4330" s="9"/>
      <c r="F4330" s="5"/>
      <c r="G4330" s="5"/>
      <c r="H4330" s="5"/>
      <c r="I4330" s="5"/>
      <c r="J4330" s="5"/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</row>
    <row r="4331" spans="5:30" ht="15">
      <c r="E4331" s="9"/>
      <c r="F4331" s="5"/>
      <c r="G4331" s="5"/>
      <c r="H4331" s="5"/>
      <c r="I4331" s="5"/>
      <c r="J4331" s="5"/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</row>
    <row r="4332" spans="5:30" ht="15">
      <c r="E4332" s="9"/>
      <c r="F4332" s="5"/>
      <c r="G4332" s="5"/>
      <c r="H4332" s="5"/>
      <c r="I4332" s="5"/>
      <c r="J4332" s="5"/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</row>
    <row r="4333" spans="5:30" ht="15">
      <c r="E4333" s="9"/>
      <c r="F4333" s="5"/>
      <c r="G4333" s="5"/>
      <c r="H4333" s="5"/>
      <c r="I4333" s="5"/>
      <c r="J4333" s="5"/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</row>
    <row r="4334" spans="5:30" ht="15">
      <c r="E4334" s="9"/>
      <c r="F4334" s="5"/>
      <c r="G4334" s="5"/>
      <c r="H4334" s="5"/>
      <c r="I4334" s="5"/>
      <c r="J4334" s="5"/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</row>
    <row r="4335" spans="5:30" ht="15">
      <c r="E4335" s="9"/>
      <c r="F4335" s="5"/>
      <c r="G4335" s="5"/>
      <c r="H4335" s="5"/>
      <c r="I4335" s="5"/>
      <c r="J4335" s="5"/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</row>
    <row r="4336" spans="5:30" ht="15">
      <c r="E4336" s="9"/>
      <c r="F4336" s="5"/>
      <c r="G4336" s="5"/>
      <c r="H4336" s="5"/>
      <c r="I4336" s="5"/>
      <c r="J4336" s="5"/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</row>
    <row r="4337" spans="5:30" ht="15">
      <c r="E4337" s="9"/>
      <c r="F4337" s="5"/>
      <c r="G4337" s="5"/>
      <c r="H4337" s="5"/>
      <c r="I4337" s="5"/>
      <c r="J4337" s="5"/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</row>
    <row r="4338" spans="5:30" ht="15">
      <c r="E4338" s="9"/>
      <c r="F4338" s="5"/>
      <c r="G4338" s="5"/>
      <c r="H4338" s="5"/>
      <c r="I4338" s="5"/>
      <c r="J4338" s="5"/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</row>
    <row r="4339" spans="5:30" ht="15">
      <c r="E4339" s="9"/>
      <c r="F4339" s="5"/>
      <c r="G4339" s="5"/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</row>
    <row r="4340" spans="5:30" ht="15">
      <c r="E4340" s="9"/>
      <c r="F4340" s="5"/>
      <c r="G4340" s="5"/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</row>
    <row r="4341" spans="5:30" ht="15">
      <c r="E4341" s="9"/>
      <c r="F4341" s="5"/>
      <c r="G4341" s="5"/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</row>
    <row r="4342" spans="5:30" ht="15">
      <c r="E4342" s="9"/>
      <c r="F4342" s="5"/>
      <c r="G4342" s="5"/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</row>
    <row r="4343" spans="5:30" ht="15">
      <c r="E4343" s="9"/>
      <c r="F4343" s="5"/>
      <c r="G4343" s="5"/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</row>
    <row r="4344" spans="5:30" ht="15">
      <c r="E4344" s="9"/>
      <c r="F4344" s="5"/>
      <c r="G4344" s="5"/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</row>
    <row r="4345" spans="5:30" ht="15">
      <c r="E4345" s="9"/>
      <c r="F4345" s="5"/>
      <c r="G4345" s="5"/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</row>
    <row r="4346" spans="5:30" ht="15">
      <c r="E4346" s="9"/>
      <c r="F4346" s="5"/>
      <c r="G4346" s="5"/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</row>
    <row r="4347" spans="5:30" ht="15">
      <c r="E4347" s="9"/>
      <c r="F4347" s="5"/>
      <c r="G4347" s="5"/>
      <c r="H4347" s="5"/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</row>
    <row r="4348" spans="5:30" ht="15">
      <c r="E4348" s="9"/>
      <c r="F4348" s="5"/>
      <c r="G4348" s="5"/>
      <c r="H4348" s="5"/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</row>
    <row r="4349" spans="5:30" ht="15">
      <c r="E4349" s="9"/>
      <c r="F4349" s="5"/>
      <c r="G4349" s="5"/>
      <c r="H4349" s="5"/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</row>
    <row r="4350" spans="5:30" ht="15">
      <c r="E4350" s="9"/>
      <c r="F4350" s="5"/>
      <c r="G4350" s="5"/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</row>
    <row r="4351" spans="5:30" ht="15">
      <c r="E4351" s="9"/>
      <c r="F4351" s="5"/>
      <c r="G4351" s="5"/>
      <c r="H4351" s="5"/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</row>
    <row r="4352" spans="5:30" ht="15">
      <c r="E4352" s="9"/>
      <c r="F4352" s="5"/>
      <c r="G4352" s="5"/>
      <c r="H4352" s="5"/>
      <c r="I4352" s="5"/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</row>
    <row r="4353" spans="5:30" ht="15">
      <c r="E4353" s="9"/>
      <c r="F4353" s="5"/>
      <c r="G4353" s="5"/>
      <c r="H4353" s="5"/>
      <c r="I4353" s="5"/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</row>
    <row r="4354" spans="5:30" ht="15">
      <c r="E4354" s="9"/>
      <c r="F4354" s="5"/>
      <c r="G4354" s="5"/>
      <c r="H4354" s="5"/>
      <c r="I4354" s="5"/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</row>
    <row r="4355" spans="5:30" ht="15">
      <c r="E4355" s="9"/>
      <c r="F4355" s="5"/>
      <c r="G4355" s="5"/>
      <c r="H4355" s="5"/>
      <c r="I4355" s="5"/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</row>
    <row r="4356" spans="5:30" ht="15">
      <c r="E4356" s="9"/>
      <c r="F4356" s="5"/>
      <c r="G4356" s="5"/>
      <c r="H4356" s="5"/>
      <c r="I4356" s="5"/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</row>
    <row r="4357" spans="5:30" ht="15">
      <c r="E4357" s="9"/>
      <c r="F4357" s="5"/>
      <c r="G4357" s="5"/>
      <c r="H4357" s="5"/>
      <c r="I4357" s="5"/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</row>
    <row r="4358" spans="5:30" ht="15">
      <c r="E4358" s="9"/>
      <c r="F4358" s="5"/>
      <c r="G4358" s="5"/>
      <c r="H4358" s="5"/>
      <c r="I4358" s="5"/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</row>
    <row r="4359" spans="5:30" ht="15">
      <c r="E4359" s="9"/>
      <c r="F4359" s="5"/>
      <c r="G4359" s="5"/>
      <c r="H4359" s="5"/>
      <c r="I4359" s="5"/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</row>
    <row r="4360" spans="5:30" ht="15">
      <c r="E4360" s="9"/>
      <c r="F4360" s="5"/>
      <c r="G4360" s="5"/>
      <c r="H4360" s="5"/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</row>
    <row r="4361" spans="5:30" ht="15">
      <c r="E4361" s="9"/>
      <c r="F4361" s="5"/>
      <c r="G4361" s="5"/>
      <c r="H4361" s="5"/>
      <c r="I4361" s="5"/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</row>
    <row r="4362" spans="5:30" ht="15">
      <c r="E4362" s="9"/>
      <c r="F4362" s="5"/>
      <c r="G4362" s="5"/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</row>
    <row r="4363" spans="5:30" ht="15">
      <c r="E4363" s="9"/>
      <c r="F4363" s="5"/>
      <c r="G4363" s="5"/>
      <c r="H4363" s="5"/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</row>
    <row r="4364" spans="5:30" ht="15">
      <c r="E4364" s="9"/>
      <c r="F4364" s="5"/>
      <c r="G4364" s="5"/>
      <c r="H4364" s="5"/>
      <c r="I4364" s="5"/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</row>
    <row r="4365" spans="5:30" ht="15">
      <c r="E4365" s="9"/>
      <c r="F4365" s="5"/>
      <c r="G4365" s="5"/>
      <c r="H4365" s="5"/>
      <c r="I4365" s="5"/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</row>
    <row r="4366" spans="5:30" ht="15">
      <c r="E4366" s="9"/>
      <c r="F4366" s="5"/>
      <c r="G4366" s="5"/>
      <c r="H4366" s="5"/>
      <c r="I4366" s="5"/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</row>
    <row r="4367" spans="5:30" ht="15">
      <c r="E4367" s="9"/>
      <c r="F4367" s="5"/>
      <c r="G4367" s="5"/>
      <c r="H4367" s="5"/>
      <c r="I4367" s="5"/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</row>
    <row r="4368" spans="5:30" ht="15">
      <c r="E4368" s="9"/>
      <c r="F4368" s="5"/>
      <c r="G4368" s="5"/>
      <c r="H4368" s="5"/>
      <c r="I4368" s="5"/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</row>
    <row r="4369" spans="5:30" ht="15">
      <c r="E4369" s="9"/>
      <c r="F4369" s="5"/>
      <c r="G4369" s="5"/>
      <c r="H4369" s="5"/>
      <c r="I4369" s="5"/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</row>
    <row r="4370" spans="5:30" ht="15">
      <c r="E4370" s="9"/>
      <c r="F4370" s="5"/>
      <c r="G4370" s="5"/>
      <c r="H4370" s="5"/>
      <c r="I4370" s="5"/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</row>
    <row r="4371" spans="5:30" ht="15">
      <c r="E4371" s="9"/>
      <c r="F4371" s="5"/>
      <c r="G4371" s="5"/>
      <c r="H4371" s="5"/>
      <c r="I4371" s="5"/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</row>
    <row r="4372" spans="5:30" ht="15">
      <c r="E4372" s="9"/>
      <c r="F4372" s="5"/>
      <c r="G4372" s="5"/>
      <c r="H4372" s="5"/>
      <c r="I4372" s="5"/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</row>
    <row r="4373" spans="5:30" ht="15">
      <c r="E4373" s="9"/>
      <c r="F4373" s="5"/>
      <c r="G4373" s="5"/>
      <c r="H4373" s="5"/>
      <c r="I4373" s="5"/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</row>
    <row r="4374" spans="5:30" ht="15">
      <c r="E4374" s="9"/>
      <c r="F4374" s="5"/>
      <c r="G4374" s="5"/>
      <c r="H4374" s="5"/>
      <c r="I4374" s="5"/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</row>
    <row r="4375" spans="5:30" ht="15">
      <c r="E4375" s="9"/>
      <c r="F4375" s="5"/>
      <c r="G4375" s="5"/>
      <c r="H4375" s="5"/>
      <c r="I4375" s="5"/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</row>
    <row r="4376" spans="5:30" ht="15">
      <c r="E4376" s="9"/>
      <c r="F4376" s="5"/>
      <c r="G4376" s="5"/>
      <c r="H4376" s="5"/>
      <c r="I4376" s="5"/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</row>
    <row r="4377" spans="5:30" ht="15">
      <c r="E4377" s="9"/>
      <c r="F4377" s="5"/>
      <c r="G4377" s="5"/>
      <c r="H4377" s="5"/>
      <c r="I4377" s="5"/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</row>
    <row r="4378" spans="5:30" ht="15">
      <c r="E4378" s="9"/>
      <c r="F4378" s="5"/>
      <c r="G4378" s="5"/>
      <c r="H4378" s="5"/>
      <c r="I4378" s="5"/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</row>
    <row r="4379" spans="5:30" ht="15">
      <c r="E4379" s="9"/>
      <c r="F4379" s="5"/>
      <c r="G4379" s="5"/>
      <c r="H4379" s="5"/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</row>
    <row r="4380" spans="5:30" ht="15">
      <c r="E4380" s="9"/>
      <c r="F4380" s="5"/>
      <c r="G4380" s="5"/>
      <c r="H4380" s="5"/>
      <c r="I4380" s="5"/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</row>
    <row r="4381" spans="5:30" ht="15">
      <c r="E4381" s="9"/>
      <c r="F4381" s="5"/>
      <c r="G4381" s="5"/>
      <c r="H4381" s="5"/>
      <c r="I4381" s="5"/>
      <c r="J4381" s="5"/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</row>
    <row r="4382" spans="5:30" ht="15">
      <c r="E4382" s="9"/>
      <c r="F4382" s="5"/>
      <c r="G4382" s="5"/>
      <c r="H4382" s="5"/>
      <c r="I4382" s="5"/>
      <c r="J4382" s="5"/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</row>
    <row r="4383" spans="5:30" ht="15">
      <c r="E4383" s="9"/>
      <c r="F4383" s="5"/>
      <c r="G4383" s="5"/>
      <c r="H4383" s="5"/>
      <c r="I4383" s="5"/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</row>
    <row r="4384" spans="5:30" ht="15">
      <c r="E4384" s="9"/>
      <c r="F4384" s="5"/>
      <c r="G4384" s="5"/>
      <c r="H4384" s="5"/>
      <c r="I4384" s="5"/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</row>
    <row r="4385" spans="5:30" ht="15">
      <c r="E4385" s="9"/>
      <c r="F4385" s="5"/>
      <c r="G4385" s="5"/>
      <c r="H4385" s="5"/>
      <c r="I4385" s="5"/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</row>
    <row r="4386" spans="5:30" ht="15">
      <c r="E4386" s="9"/>
      <c r="F4386" s="5"/>
      <c r="G4386" s="5"/>
      <c r="H4386" s="5"/>
      <c r="I4386" s="5"/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</row>
    <row r="4387" spans="5:30" ht="15">
      <c r="E4387" s="9"/>
      <c r="F4387" s="5"/>
      <c r="G4387" s="5"/>
      <c r="H4387" s="5"/>
      <c r="I4387" s="5"/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</row>
    <row r="4388" spans="5:30" ht="15">
      <c r="E4388" s="9"/>
      <c r="F4388" s="5"/>
      <c r="G4388" s="5"/>
      <c r="H4388" s="5"/>
      <c r="I4388" s="5"/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</row>
    <row r="4389" spans="5:30" ht="15">
      <c r="E4389" s="9"/>
      <c r="F4389" s="5"/>
      <c r="G4389" s="5"/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</row>
    <row r="4390" spans="5:30" ht="15">
      <c r="E4390" s="9"/>
      <c r="F4390" s="5"/>
      <c r="G4390" s="5"/>
      <c r="H4390" s="5"/>
      <c r="I4390" s="5"/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</row>
    <row r="4391" spans="5:30" ht="15">
      <c r="E4391" s="9"/>
      <c r="F4391" s="5"/>
      <c r="G4391" s="5"/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</row>
    <row r="4392" spans="5:30" ht="15">
      <c r="E4392" s="9"/>
      <c r="F4392" s="5"/>
      <c r="G4392" s="5"/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</row>
    <row r="4393" spans="5:30" ht="15">
      <c r="E4393" s="9"/>
      <c r="F4393" s="5"/>
      <c r="G4393" s="5"/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</row>
    <row r="4394" spans="5:30" ht="15">
      <c r="E4394" s="9"/>
      <c r="F4394" s="5"/>
      <c r="G4394" s="5"/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</row>
    <row r="4395" spans="5:30" ht="15">
      <c r="E4395" s="9"/>
      <c r="F4395" s="5"/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</row>
    <row r="4396" spans="5:30" ht="15">
      <c r="E4396" s="9"/>
      <c r="F4396" s="5"/>
      <c r="G4396" s="5"/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</row>
    <row r="4397" spans="5:30" ht="15">
      <c r="E4397" s="9"/>
      <c r="F4397" s="5"/>
      <c r="G4397" s="5"/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</row>
    <row r="4398" spans="5:30" ht="15">
      <c r="E4398" s="9"/>
      <c r="F4398" s="5"/>
      <c r="G4398" s="5"/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</row>
    <row r="4399" spans="5:30" ht="15">
      <c r="E4399" s="9"/>
      <c r="F4399" s="5"/>
      <c r="G4399" s="5"/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</row>
    <row r="4400" spans="5:30" ht="15">
      <c r="E4400" s="9"/>
      <c r="F4400" s="5"/>
      <c r="G4400" s="5"/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</row>
    <row r="4401" spans="5:30" ht="15">
      <c r="E4401" s="9"/>
      <c r="F4401" s="5"/>
      <c r="G4401" s="5"/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</row>
    <row r="4402" spans="5:30" ht="15">
      <c r="E4402" s="9"/>
      <c r="F4402" s="5"/>
      <c r="G4402" s="5"/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</row>
    <row r="4403" spans="5:30" ht="15">
      <c r="E4403" s="9"/>
      <c r="F4403" s="5"/>
      <c r="G4403" s="5"/>
      <c r="H4403" s="5"/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</row>
    <row r="4404" spans="5:30" ht="15">
      <c r="E4404" s="9"/>
      <c r="F4404" s="5"/>
      <c r="G4404" s="5"/>
      <c r="H4404" s="5"/>
      <c r="I4404" s="5"/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</row>
    <row r="4405" spans="5:30" ht="15">
      <c r="E4405" s="9"/>
      <c r="F4405" s="5"/>
      <c r="G4405" s="5"/>
      <c r="H4405" s="5"/>
      <c r="I4405" s="5"/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</row>
    <row r="4406" spans="5:30" ht="15">
      <c r="E4406" s="9"/>
      <c r="F4406" s="5"/>
      <c r="G4406" s="5"/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</row>
    <row r="4407" spans="5:30" ht="15">
      <c r="E4407" s="9"/>
      <c r="F4407" s="5"/>
      <c r="G4407" s="5"/>
      <c r="H4407" s="5"/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</row>
    <row r="4408" spans="5:30" ht="15">
      <c r="E4408" s="9"/>
      <c r="F4408" s="5"/>
      <c r="G4408" s="5"/>
      <c r="H4408" s="5"/>
      <c r="I4408" s="5"/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</row>
    <row r="4409" spans="5:30" ht="15">
      <c r="E4409" s="9"/>
      <c r="F4409" s="5"/>
      <c r="G4409" s="5"/>
      <c r="H4409" s="5"/>
      <c r="I4409" s="5"/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</row>
    <row r="4410" spans="5:30" ht="15">
      <c r="E4410" s="9"/>
      <c r="F4410" s="5"/>
      <c r="G4410" s="5"/>
      <c r="H4410" s="5"/>
      <c r="I4410" s="5"/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</row>
    <row r="4411" spans="5:30" ht="15">
      <c r="E4411" s="9"/>
      <c r="F4411" s="5"/>
      <c r="G4411" s="5"/>
      <c r="H4411" s="5"/>
      <c r="I4411" s="5"/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</row>
    <row r="4412" spans="5:30" ht="15">
      <c r="E4412" s="9"/>
      <c r="F4412" s="5"/>
      <c r="G4412" s="5"/>
      <c r="H4412" s="5"/>
      <c r="I4412" s="5"/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</row>
    <row r="4413" spans="5:30" ht="15">
      <c r="E4413" s="9"/>
      <c r="F4413" s="5"/>
      <c r="G4413" s="5"/>
      <c r="H4413" s="5"/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</row>
    <row r="4414" spans="5:30" ht="15">
      <c r="E4414" s="9"/>
      <c r="F4414" s="5"/>
      <c r="G4414" s="5"/>
      <c r="H4414" s="5"/>
      <c r="I4414" s="5"/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</row>
    <row r="4415" spans="5:30" ht="15">
      <c r="E4415" s="9"/>
      <c r="F4415" s="5"/>
      <c r="G4415" s="5"/>
      <c r="H4415" s="5"/>
      <c r="I4415" s="5"/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</row>
    <row r="4416" spans="5:30" ht="15">
      <c r="E4416" s="9"/>
      <c r="F4416" s="5"/>
      <c r="G4416" s="5"/>
      <c r="H4416" s="5"/>
      <c r="I4416" s="5"/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</row>
    <row r="4417" spans="5:30" ht="15">
      <c r="E4417" s="9"/>
      <c r="F4417" s="5"/>
      <c r="G4417" s="5"/>
      <c r="H4417" s="5"/>
      <c r="I4417" s="5"/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</row>
    <row r="4418" spans="5:30" ht="15">
      <c r="E4418" s="9"/>
      <c r="F4418" s="5"/>
      <c r="G4418" s="5"/>
      <c r="H4418" s="5"/>
      <c r="I4418" s="5"/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</row>
    <row r="4419" spans="5:30" ht="15">
      <c r="E4419" s="9"/>
      <c r="F4419" s="5"/>
      <c r="G4419" s="5"/>
      <c r="H4419" s="5"/>
      <c r="I4419" s="5"/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</row>
    <row r="4420" spans="5:30" ht="15">
      <c r="E4420" s="9"/>
      <c r="F4420" s="5"/>
      <c r="G4420" s="5"/>
      <c r="H4420" s="5"/>
      <c r="I4420" s="5"/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</row>
    <row r="4421" spans="5:30" ht="15">
      <c r="E4421" s="9"/>
      <c r="F4421" s="5"/>
      <c r="G4421" s="5"/>
      <c r="H4421" s="5"/>
      <c r="I4421" s="5"/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</row>
    <row r="4422" spans="5:30" ht="15">
      <c r="E4422" s="9"/>
      <c r="F4422" s="5"/>
      <c r="G4422" s="5"/>
      <c r="H4422" s="5"/>
      <c r="I4422" s="5"/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</row>
    <row r="4423" spans="5:30" ht="15">
      <c r="E4423" s="9"/>
      <c r="F4423" s="5"/>
      <c r="G4423" s="5"/>
      <c r="H4423" s="5"/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</row>
    <row r="4424" spans="5:30" ht="15">
      <c r="E4424" s="9"/>
      <c r="F4424" s="5"/>
      <c r="G4424" s="5"/>
      <c r="H4424" s="5"/>
      <c r="I4424" s="5"/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</row>
    <row r="4425" spans="5:30" ht="15">
      <c r="E4425" s="9"/>
      <c r="F4425" s="5"/>
      <c r="G4425" s="5"/>
      <c r="H4425" s="5"/>
      <c r="I4425" s="5"/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</row>
    <row r="4426" spans="5:30" ht="15">
      <c r="E4426" s="9"/>
      <c r="F4426" s="5"/>
      <c r="G4426" s="5"/>
      <c r="H4426" s="5"/>
      <c r="I4426" s="5"/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</row>
    <row r="4427" spans="5:30" ht="15">
      <c r="E4427" s="9"/>
      <c r="F4427" s="5"/>
      <c r="G4427" s="5"/>
      <c r="H4427" s="5"/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</row>
    <row r="4428" spans="5:30" ht="15">
      <c r="E4428" s="9"/>
      <c r="F4428" s="5"/>
      <c r="G4428" s="5"/>
      <c r="H4428" s="5"/>
      <c r="I4428" s="5"/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</row>
    <row r="4429" spans="5:30" ht="15">
      <c r="E4429" s="9"/>
      <c r="F4429" s="5"/>
      <c r="G4429" s="5"/>
      <c r="H4429" s="5"/>
      <c r="I4429" s="5"/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</row>
    <row r="4430" spans="5:30" ht="15">
      <c r="E4430" s="9"/>
      <c r="F4430" s="5"/>
      <c r="G4430" s="5"/>
      <c r="H4430" s="5"/>
      <c r="I4430" s="5"/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</row>
    <row r="4431" spans="5:30" ht="15">
      <c r="E4431" s="9"/>
      <c r="F4431" s="5"/>
      <c r="G4431" s="5"/>
      <c r="H4431" s="5"/>
      <c r="I4431" s="5"/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</row>
    <row r="4432" spans="5:30" ht="15">
      <c r="E4432" s="9"/>
      <c r="F4432" s="5"/>
      <c r="G4432" s="5"/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</row>
    <row r="4433" spans="5:30" ht="15">
      <c r="E4433" s="9"/>
      <c r="F4433" s="5"/>
      <c r="G4433" s="5"/>
      <c r="H4433" s="5"/>
      <c r="I4433" s="5"/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</row>
    <row r="4434" spans="5:30" ht="15">
      <c r="E4434" s="9"/>
      <c r="F4434" s="5"/>
      <c r="G4434" s="5"/>
      <c r="H4434" s="5"/>
      <c r="I4434" s="5"/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</row>
    <row r="4435" spans="5:30" ht="15">
      <c r="E4435" s="9"/>
      <c r="F4435" s="5"/>
      <c r="G4435" s="5"/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</row>
    <row r="4436" spans="5:30" ht="15">
      <c r="E4436" s="9"/>
      <c r="F4436" s="5"/>
      <c r="G4436" s="5"/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</row>
    <row r="4437" spans="5:30" ht="15">
      <c r="E4437" s="9"/>
      <c r="F4437" s="5"/>
      <c r="G4437" s="5"/>
      <c r="H4437" s="5"/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</row>
    <row r="4438" spans="5:30" ht="15">
      <c r="E4438" s="9"/>
      <c r="F4438" s="5"/>
      <c r="G4438" s="5"/>
      <c r="H4438" s="5"/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</row>
    <row r="4439" spans="5:30" ht="15">
      <c r="E4439" s="9"/>
      <c r="F4439" s="5"/>
      <c r="G4439" s="5"/>
      <c r="H4439" s="5"/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</row>
    <row r="4440" spans="5:30" ht="15">
      <c r="E4440" s="9"/>
      <c r="F4440" s="5"/>
      <c r="G4440" s="5"/>
      <c r="H4440" s="5"/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</row>
    <row r="4441" spans="5:30" ht="15">
      <c r="E4441" s="9"/>
      <c r="F4441" s="5"/>
      <c r="G4441" s="5"/>
      <c r="H4441" s="5"/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</row>
    <row r="4442" spans="5:30" ht="15">
      <c r="E4442" s="9"/>
      <c r="F4442" s="5"/>
      <c r="G4442" s="5"/>
      <c r="H4442" s="5"/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</row>
    <row r="4443" spans="5:30" ht="15">
      <c r="E4443" s="9"/>
      <c r="F4443" s="5"/>
      <c r="G4443" s="5"/>
      <c r="H4443" s="5"/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</row>
    <row r="4444" spans="5:30" ht="15">
      <c r="E4444" s="9"/>
      <c r="F4444" s="5"/>
      <c r="G4444" s="5"/>
      <c r="H4444" s="5"/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</row>
    <row r="4445" spans="5:30" ht="15">
      <c r="E4445" s="9"/>
      <c r="F4445" s="5"/>
      <c r="G4445" s="5"/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</row>
    <row r="4446" spans="5:30" ht="15">
      <c r="E4446" s="9"/>
      <c r="F4446" s="5"/>
      <c r="G4446" s="5"/>
      <c r="H4446" s="5"/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</row>
    <row r="4447" spans="5:30" ht="15">
      <c r="E4447" s="9"/>
      <c r="F4447" s="5"/>
      <c r="G4447" s="5"/>
      <c r="H4447" s="5"/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</row>
    <row r="4448" spans="5:30" ht="15">
      <c r="E4448" s="9"/>
      <c r="F4448" s="5"/>
      <c r="G4448" s="5"/>
      <c r="H4448" s="5"/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</row>
    <row r="4449" spans="5:30" ht="15">
      <c r="E4449" s="9"/>
      <c r="F4449" s="5"/>
      <c r="G4449" s="5"/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</row>
    <row r="4450" spans="5:30" ht="15">
      <c r="E4450" s="9"/>
      <c r="F4450" s="5"/>
      <c r="G4450" s="5"/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</row>
    <row r="4451" spans="5:30" ht="15">
      <c r="E4451" s="9"/>
      <c r="F4451" s="5"/>
      <c r="G4451" s="5"/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</row>
    <row r="4452" spans="5:30" ht="15">
      <c r="E4452" s="9"/>
      <c r="F4452" s="5"/>
      <c r="G4452" s="5"/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</row>
    <row r="4453" spans="5:30" ht="15">
      <c r="E4453" s="9"/>
      <c r="F4453" s="5"/>
      <c r="G4453" s="5"/>
      <c r="H4453" s="5"/>
      <c r="I4453" s="5"/>
      <c r="J4453" s="5"/>
      <c r="K4453" s="5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</row>
    <row r="4454" spans="5:30" ht="15">
      <c r="E4454" s="9"/>
      <c r="F4454" s="5"/>
      <c r="G4454" s="5"/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</row>
    <row r="4455" spans="5:30" ht="15">
      <c r="E4455" s="9"/>
      <c r="F4455" s="5"/>
      <c r="G4455" s="5"/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</row>
    <row r="4456" spans="5:30" ht="15">
      <c r="E4456" s="9"/>
      <c r="F4456" s="5"/>
      <c r="G4456" s="5"/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</row>
    <row r="4457" spans="5:30" ht="15">
      <c r="E4457" s="9"/>
      <c r="F4457" s="5"/>
      <c r="G4457" s="5"/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</row>
    <row r="4458" spans="5:30" ht="15">
      <c r="E4458" s="9"/>
      <c r="F4458" s="5"/>
      <c r="G4458" s="5"/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</row>
    <row r="4459" spans="5:30" ht="15">
      <c r="E4459" s="9"/>
      <c r="F4459" s="5"/>
      <c r="G4459" s="5"/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</row>
    <row r="4460" spans="5:30" ht="15">
      <c r="E4460" s="9"/>
      <c r="F4460" s="5"/>
      <c r="G4460" s="5"/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</row>
    <row r="4461" spans="5:30" ht="15">
      <c r="E4461" s="9"/>
      <c r="F4461" s="5"/>
      <c r="G4461" s="5"/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</row>
    <row r="4462" spans="5:30" ht="15">
      <c r="E4462" s="9"/>
      <c r="F4462" s="5"/>
      <c r="G4462" s="5"/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</row>
    <row r="4463" spans="5:30" ht="15">
      <c r="E4463" s="9"/>
      <c r="F4463" s="5"/>
      <c r="G4463" s="5"/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</row>
    <row r="4464" spans="5:30" ht="15">
      <c r="E4464" s="9"/>
      <c r="F4464" s="5"/>
      <c r="G4464" s="5"/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</row>
    <row r="4465" spans="5:30" ht="15">
      <c r="E4465" s="9"/>
      <c r="F4465" s="5"/>
      <c r="G4465" s="5"/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</row>
    <row r="4466" spans="5:30" ht="15">
      <c r="E4466" s="9"/>
      <c r="F4466" s="5"/>
      <c r="G4466" s="5"/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</row>
    <row r="4467" spans="5:30" ht="15">
      <c r="E4467" s="9"/>
      <c r="F4467" s="5"/>
      <c r="G4467" s="5"/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</row>
    <row r="4468" spans="5:30" ht="15">
      <c r="E4468" s="9"/>
      <c r="F4468" s="5"/>
      <c r="G4468" s="5"/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</row>
    <row r="4469" spans="5:30" ht="15">
      <c r="E4469" s="9"/>
      <c r="F4469" s="5"/>
      <c r="G4469" s="5"/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</row>
    <row r="4470" spans="5:30" ht="15">
      <c r="E4470" s="9"/>
      <c r="F4470" s="5"/>
      <c r="G4470" s="5"/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</row>
    <row r="4471" spans="5:30" ht="15">
      <c r="E4471" s="9"/>
      <c r="F4471" s="5"/>
      <c r="G4471" s="5"/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</row>
    <row r="4472" spans="5:30" ht="15">
      <c r="E4472" s="9"/>
      <c r="F4472" s="5"/>
      <c r="G4472" s="5"/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</row>
    <row r="4473" spans="5:30" ht="15">
      <c r="E4473" s="9"/>
      <c r="F4473" s="5"/>
      <c r="G4473" s="5"/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</row>
    <row r="4474" spans="5:30" ht="15">
      <c r="E4474" s="9"/>
      <c r="F4474" s="5"/>
      <c r="G4474" s="5"/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</row>
    <row r="4475" spans="5:30" ht="15">
      <c r="E4475" s="9"/>
      <c r="F4475" s="5"/>
      <c r="G4475" s="5"/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</row>
    <row r="4476" spans="5:30" ht="15">
      <c r="E4476" s="9"/>
      <c r="F4476" s="5"/>
      <c r="G4476" s="5"/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</row>
    <row r="4477" spans="5:30" ht="15">
      <c r="E4477" s="9"/>
      <c r="F4477" s="5"/>
      <c r="G4477" s="5"/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</row>
    <row r="4478" spans="5:30" ht="15">
      <c r="E4478" s="9"/>
      <c r="F4478" s="5"/>
      <c r="G4478" s="5"/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</row>
    <row r="4479" spans="5:30" ht="15">
      <c r="E4479" s="9"/>
      <c r="F4479" s="5"/>
      <c r="G4479" s="5"/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</row>
    <row r="4480" spans="5:30" ht="15">
      <c r="E4480" s="9"/>
      <c r="F4480" s="5"/>
      <c r="G4480" s="5"/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</row>
    <row r="4481" spans="5:30" ht="15">
      <c r="E4481" s="9"/>
      <c r="F4481" s="5"/>
      <c r="G4481" s="5"/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</row>
    <row r="4482" spans="5:30" ht="15">
      <c r="E4482" s="9"/>
      <c r="F4482" s="5"/>
      <c r="G4482" s="5"/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</row>
    <row r="4483" spans="5:30" ht="15">
      <c r="E4483" s="9"/>
      <c r="F4483" s="5"/>
      <c r="G4483" s="5"/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</row>
    <row r="4484" spans="5:30" ht="15">
      <c r="E4484" s="9"/>
      <c r="F4484" s="5"/>
      <c r="G4484" s="5"/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</row>
    <row r="4485" spans="5:30" ht="15">
      <c r="E4485" s="9"/>
      <c r="F4485" s="5"/>
      <c r="G4485" s="5"/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</row>
    <row r="4486" spans="5:30" ht="15">
      <c r="E4486" s="9"/>
      <c r="F4486" s="5"/>
      <c r="G4486" s="5"/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</row>
    <row r="4487" spans="5:30" ht="15">
      <c r="E4487" s="9"/>
      <c r="F4487" s="5"/>
      <c r="G4487" s="5"/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</row>
    <row r="4488" spans="5:30" ht="15">
      <c r="E4488" s="9"/>
      <c r="F4488" s="5"/>
      <c r="G4488" s="5"/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</row>
    <row r="4489" spans="5:30" ht="15">
      <c r="E4489" s="9"/>
      <c r="F4489" s="5"/>
      <c r="G4489" s="5"/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</row>
    <row r="4490" spans="5:30" ht="15">
      <c r="E4490" s="9"/>
      <c r="F4490" s="5"/>
      <c r="G4490" s="5"/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</row>
    <row r="4491" spans="5:30" ht="15">
      <c r="E4491" s="9"/>
      <c r="F4491" s="5"/>
      <c r="G4491" s="5"/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</row>
    <row r="4492" spans="5:30" ht="15">
      <c r="E4492" s="9"/>
      <c r="F4492" s="5"/>
      <c r="G4492" s="5"/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</row>
    <row r="4493" spans="5:30" ht="15">
      <c r="E4493" s="9"/>
      <c r="F4493" s="5"/>
      <c r="G4493" s="5"/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</row>
    <row r="4494" spans="5:30" ht="15">
      <c r="E4494" s="9"/>
      <c r="F4494" s="5"/>
      <c r="G4494" s="5"/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</row>
    <row r="4495" spans="5:30" ht="15">
      <c r="E4495" s="9"/>
      <c r="F4495" s="5"/>
      <c r="G4495" s="5"/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</row>
    <row r="4496" spans="5:30" ht="15">
      <c r="E4496" s="9"/>
      <c r="F4496" s="5"/>
      <c r="G4496" s="5"/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</row>
    <row r="4497" spans="5:30" ht="15">
      <c r="E4497" s="9"/>
      <c r="F4497" s="5"/>
      <c r="G4497" s="5"/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</row>
    <row r="4498" spans="5:30" ht="15">
      <c r="E4498" s="9"/>
      <c r="F4498" s="5"/>
      <c r="G4498" s="5"/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</row>
    <row r="4499" spans="5:30" ht="15">
      <c r="E4499" s="9"/>
      <c r="F4499" s="5"/>
      <c r="G4499" s="5"/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</row>
    <row r="4500" spans="5:30" ht="15">
      <c r="E4500" s="9"/>
      <c r="F4500" s="5"/>
      <c r="G4500" s="5"/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</row>
    <row r="4501" spans="5:30" ht="15">
      <c r="E4501" s="9"/>
      <c r="F4501" s="5"/>
      <c r="G4501" s="5"/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</row>
    <row r="4502" spans="5:30" ht="15">
      <c r="E4502" s="9"/>
      <c r="F4502" s="5"/>
      <c r="G4502" s="5"/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</row>
    <row r="4503" spans="5:30" ht="15">
      <c r="E4503" s="9"/>
      <c r="F4503" s="5"/>
      <c r="G4503" s="5"/>
      <c r="H4503" s="5"/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</row>
    <row r="4504" spans="5:30" ht="15">
      <c r="E4504" s="9"/>
      <c r="F4504" s="5"/>
      <c r="G4504" s="5"/>
      <c r="H4504" s="5"/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</row>
    <row r="4505" spans="5:30" ht="15">
      <c r="E4505" s="9"/>
      <c r="F4505" s="5"/>
      <c r="G4505" s="5"/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</row>
    <row r="4506" spans="5:30" ht="15">
      <c r="E4506" s="9"/>
      <c r="F4506" s="5"/>
      <c r="G4506" s="5"/>
      <c r="H4506" s="5"/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</row>
    <row r="4507" spans="5:30" ht="15">
      <c r="E4507" s="9"/>
      <c r="F4507" s="5"/>
      <c r="G4507" s="5"/>
      <c r="H4507" s="5"/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</row>
    <row r="4508" spans="5:30" ht="15">
      <c r="E4508" s="9"/>
      <c r="F4508" s="5"/>
      <c r="G4508" s="5"/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</row>
    <row r="4509" spans="5:30" ht="15">
      <c r="E4509" s="9"/>
      <c r="F4509" s="5"/>
      <c r="G4509" s="5"/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</row>
    <row r="4510" spans="5:30" ht="15">
      <c r="E4510" s="9"/>
      <c r="F4510" s="5"/>
      <c r="G4510" s="5"/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</row>
    <row r="4511" spans="5:30" ht="15">
      <c r="E4511" s="9"/>
      <c r="F4511" s="5"/>
      <c r="G4511" s="5"/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</row>
    <row r="4512" spans="5:30" ht="15">
      <c r="E4512" s="9"/>
      <c r="F4512" s="5"/>
      <c r="G4512" s="5"/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</row>
    <row r="4513" spans="5:30" ht="15">
      <c r="E4513" s="9"/>
      <c r="F4513" s="5"/>
      <c r="G4513" s="5"/>
      <c r="H4513" s="5"/>
      <c r="I4513" s="5"/>
      <c r="J4513" s="5"/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</row>
    <row r="4514" spans="5:30" ht="15">
      <c r="E4514" s="9"/>
      <c r="F4514" s="5"/>
      <c r="G4514" s="5"/>
      <c r="H4514" s="5"/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</row>
    <row r="4515" spans="5:30" ht="15">
      <c r="E4515" s="9"/>
      <c r="F4515" s="5"/>
      <c r="G4515" s="5"/>
      <c r="H4515" s="5"/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</row>
    <row r="4516" spans="5:30" ht="15">
      <c r="E4516" s="9"/>
      <c r="F4516" s="5"/>
      <c r="G4516" s="5"/>
      <c r="H4516" s="5"/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</row>
    <row r="4517" spans="5:30" ht="15">
      <c r="E4517" s="9"/>
      <c r="F4517" s="5"/>
      <c r="G4517" s="5"/>
      <c r="H4517" s="5"/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</row>
    <row r="4518" spans="5:30" ht="15">
      <c r="E4518" s="9"/>
      <c r="F4518" s="5"/>
      <c r="G4518" s="5"/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</row>
    <row r="4519" spans="5:30" ht="15">
      <c r="E4519" s="9"/>
      <c r="F4519" s="5"/>
      <c r="G4519" s="5"/>
      <c r="H4519" s="5"/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</row>
    <row r="4520" spans="5:30" ht="15">
      <c r="E4520" s="9"/>
      <c r="F4520" s="5"/>
      <c r="G4520" s="5"/>
      <c r="H4520" s="5"/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</row>
    <row r="4521" spans="5:30" ht="15">
      <c r="E4521" s="9"/>
      <c r="F4521" s="5"/>
      <c r="G4521" s="5"/>
      <c r="H4521" s="5"/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</row>
    <row r="4522" spans="5:30" ht="15">
      <c r="E4522" s="9"/>
      <c r="F4522" s="5"/>
      <c r="G4522" s="5"/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</row>
    <row r="4523" spans="5:30" ht="15">
      <c r="E4523" s="9"/>
      <c r="F4523" s="5"/>
      <c r="G4523" s="5"/>
      <c r="H4523" s="5"/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</row>
    <row r="4524" spans="5:30" ht="15">
      <c r="E4524" s="9"/>
      <c r="F4524" s="5"/>
      <c r="G4524" s="5"/>
      <c r="H4524" s="5"/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</row>
    <row r="4525" spans="5:30" ht="15">
      <c r="E4525" s="9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</row>
    <row r="4526" spans="5:30" ht="15">
      <c r="E4526" s="9"/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</row>
    <row r="4527" spans="5:30" ht="15">
      <c r="E4527" s="9"/>
      <c r="F4527" s="5"/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</row>
    <row r="4528" spans="5:30" ht="15">
      <c r="E4528" s="9"/>
      <c r="F4528" s="5"/>
      <c r="G4528" s="5"/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</row>
    <row r="4529" spans="5:30" ht="15">
      <c r="E4529" s="9"/>
      <c r="F4529" s="5"/>
      <c r="G4529" s="5"/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</row>
    <row r="4530" spans="5:30" ht="15">
      <c r="E4530" s="9"/>
      <c r="F4530" s="5"/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</row>
    <row r="4531" spans="5:30" ht="15">
      <c r="E4531" s="9"/>
      <c r="F4531" s="5"/>
      <c r="G4531" s="5"/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</row>
    <row r="4532" spans="5:30" ht="15">
      <c r="E4532" s="9"/>
      <c r="F4532" s="5"/>
      <c r="G4532" s="5"/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</row>
    <row r="4533" spans="5:30" ht="15">
      <c r="E4533" s="9"/>
      <c r="F4533" s="5"/>
      <c r="G4533" s="5"/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</row>
    <row r="4534" spans="5:30" ht="15">
      <c r="E4534" s="9"/>
      <c r="F4534" s="5"/>
      <c r="G4534" s="5"/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</row>
    <row r="4535" spans="5:30" ht="15">
      <c r="E4535" s="9"/>
      <c r="F4535" s="5"/>
      <c r="G4535" s="5"/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</row>
    <row r="4536" spans="5:30" ht="15">
      <c r="E4536" s="9"/>
      <c r="F4536" s="5"/>
      <c r="G4536" s="5"/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</row>
    <row r="4537" spans="5:30" ht="15">
      <c r="E4537" s="9"/>
      <c r="F4537" s="5"/>
      <c r="G4537" s="5"/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</row>
    <row r="4538" spans="5:30" ht="15">
      <c r="E4538" s="9"/>
      <c r="F4538" s="5"/>
      <c r="G4538" s="5"/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</row>
    <row r="4539" spans="5:30" ht="15">
      <c r="E4539" s="9"/>
      <c r="F4539" s="5"/>
      <c r="G4539" s="5"/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</row>
    <row r="4540" spans="5:30" ht="15">
      <c r="E4540" s="9"/>
      <c r="F4540" s="5"/>
      <c r="G4540" s="5"/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</row>
    <row r="4541" spans="5:30" ht="15">
      <c r="E4541" s="9"/>
      <c r="F4541" s="5"/>
      <c r="G4541" s="5"/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</row>
    <row r="4542" spans="5:30" ht="15">
      <c r="E4542" s="9"/>
      <c r="F4542" s="5"/>
      <c r="G4542" s="5"/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</row>
    <row r="4543" spans="5:30" ht="15">
      <c r="E4543" s="9"/>
      <c r="F4543" s="5"/>
      <c r="G4543" s="5"/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</row>
    <row r="4544" spans="5:30" ht="15">
      <c r="E4544" s="9"/>
      <c r="F4544" s="5"/>
      <c r="G4544" s="5"/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</row>
    <row r="4545" spans="5:30" ht="15">
      <c r="E4545" s="9"/>
      <c r="F4545" s="5"/>
      <c r="G4545" s="5"/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</row>
    <row r="4546" spans="5:30" ht="15">
      <c r="E4546" s="9"/>
      <c r="F4546" s="5"/>
      <c r="G4546" s="5"/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</row>
    <row r="4547" spans="5:30" ht="15">
      <c r="E4547" s="9"/>
      <c r="F4547" s="5"/>
      <c r="G4547" s="5"/>
      <c r="H4547" s="5"/>
      <c r="I4547" s="5"/>
      <c r="J4547" s="5"/>
      <c r="K4547" s="5"/>
      <c r="L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</row>
    <row r="4548" spans="5:30" ht="15">
      <c r="E4548" s="9"/>
      <c r="F4548" s="5"/>
      <c r="G4548" s="5"/>
      <c r="H4548" s="5"/>
      <c r="I4548" s="5"/>
      <c r="J4548" s="5"/>
      <c r="K4548" s="5"/>
      <c r="L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</row>
    <row r="4549" spans="5:30" ht="15">
      <c r="E4549" s="9"/>
      <c r="F4549" s="5"/>
      <c r="G4549" s="5"/>
      <c r="H4549" s="5"/>
      <c r="I4549" s="5"/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</row>
    <row r="4550" spans="5:30" ht="15">
      <c r="E4550" s="9"/>
      <c r="F4550" s="5"/>
      <c r="G4550" s="5"/>
      <c r="H4550" s="5"/>
      <c r="I4550" s="5"/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</row>
    <row r="4551" spans="5:30" ht="15">
      <c r="E4551" s="9"/>
      <c r="F4551" s="5"/>
      <c r="G4551" s="5"/>
      <c r="H4551" s="5"/>
      <c r="I4551" s="5"/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</row>
    <row r="4552" spans="5:30" ht="15">
      <c r="E4552" s="9"/>
      <c r="F4552" s="5"/>
      <c r="G4552" s="5"/>
      <c r="H4552" s="5"/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</row>
    <row r="4553" spans="5:30" ht="15">
      <c r="E4553" s="9"/>
      <c r="F4553" s="5"/>
      <c r="G4553" s="5"/>
      <c r="H4553" s="5"/>
      <c r="I4553" s="5"/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</row>
    <row r="4554" spans="5:30" ht="15">
      <c r="E4554" s="9"/>
      <c r="F4554" s="5"/>
      <c r="G4554" s="5"/>
      <c r="H4554" s="5"/>
      <c r="I4554" s="5"/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</row>
    <row r="4555" spans="5:30" ht="15">
      <c r="E4555" s="9"/>
      <c r="F4555" s="5"/>
      <c r="G4555" s="5"/>
      <c r="H4555" s="5"/>
      <c r="I4555" s="5"/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</row>
    <row r="4556" spans="5:30" ht="15">
      <c r="E4556" s="9"/>
      <c r="F4556" s="5"/>
      <c r="G4556" s="5"/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</row>
    <row r="4557" spans="5:30" ht="15">
      <c r="E4557" s="9"/>
      <c r="F4557" s="5"/>
      <c r="G4557" s="5"/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</row>
    <row r="4558" spans="5:30" ht="15">
      <c r="E4558" s="9"/>
      <c r="F4558" s="5"/>
      <c r="G4558" s="5"/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</row>
    <row r="4559" spans="5:30" ht="15">
      <c r="E4559" s="9"/>
      <c r="F4559" s="5"/>
      <c r="G4559" s="5"/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</row>
    <row r="4560" spans="5:30" ht="15">
      <c r="E4560" s="9"/>
      <c r="F4560" s="5"/>
      <c r="G4560" s="5"/>
      <c r="H4560" s="5"/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</row>
    <row r="4561" spans="5:30" ht="15">
      <c r="E4561" s="9"/>
      <c r="F4561" s="5"/>
      <c r="G4561" s="5"/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</row>
    <row r="4562" spans="5:30" ht="15">
      <c r="E4562" s="9"/>
      <c r="F4562" s="5"/>
      <c r="G4562" s="5"/>
      <c r="H4562" s="5"/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</row>
    <row r="4563" spans="5:30" ht="15">
      <c r="E4563" s="9"/>
      <c r="F4563" s="5"/>
      <c r="G4563" s="5"/>
      <c r="H4563" s="5"/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</row>
    <row r="4564" spans="5:30" ht="15">
      <c r="E4564" s="9"/>
      <c r="F4564" s="5"/>
      <c r="G4564" s="5"/>
      <c r="H4564" s="5"/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</row>
    <row r="4565" spans="5:30" ht="15">
      <c r="E4565" s="9"/>
      <c r="F4565" s="5"/>
      <c r="G4565" s="5"/>
      <c r="H4565" s="5"/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</row>
    <row r="4566" spans="5:30" ht="15">
      <c r="E4566" s="9"/>
      <c r="F4566" s="5"/>
      <c r="G4566" s="5"/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</row>
    <row r="4567" spans="5:30" ht="15">
      <c r="E4567" s="9"/>
      <c r="F4567" s="5"/>
      <c r="G4567" s="5"/>
      <c r="H4567" s="5"/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</row>
    <row r="4568" spans="5:30" ht="15">
      <c r="E4568" s="9"/>
      <c r="F4568" s="5"/>
      <c r="G4568" s="5"/>
      <c r="H4568" s="5"/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</row>
    <row r="4569" spans="5:30" ht="15">
      <c r="E4569" s="9"/>
      <c r="F4569" s="5"/>
      <c r="G4569" s="5"/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</row>
    <row r="4570" spans="5:30" ht="15">
      <c r="E4570" s="9"/>
      <c r="F4570" s="5"/>
      <c r="G4570" s="5"/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</row>
    <row r="4571" spans="5:30" ht="15">
      <c r="E4571" s="9"/>
      <c r="F4571" s="5"/>
      <c r="G4571" s="5"/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</row>
    <row r="4572" spans="5:30" ht="15">
      <c r="E4572" s="9"/>
      <c r="F4572" s="5"/>
      <c r="G4572" s="5"/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</row>
    <row r="4573" spans="5:30" ht="15">
      <c r="E4573" s="9"/>
      <c r="F4573" s="5"/>
      <c r="G4573" s="5"/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</row>
    <row r="4574" spans="5:30" ht="15">
      <c r="E4574" s="9"/>
      <c r="F4574" s="5"/>
      <c r="G4574" s="5"/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</row>
    <row r="4575" spans="5:30" ht="15">
      <c r="E4575" s="9"/>
      <c r="F4575" s="5"/>
      <c r="G4575" s="5"/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</row>
    <row r="4576" spans="5:30" ht="15">
      <c r="E4576" s="9"/>
      <c r="F4576" s="5"/>
      <c r="G4576" s="5"/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</row>
    <row r="4577" spans="5:30" ht="15">
      <c r="E4577" s="9"/>
      <c r="F4577" s="5"/>
      <c r="G4577" s="5"/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</row>
    <row r="4578" spans="5:30" ht="15">
      <c r="E4578" s="9"/>
      <c r="F4578" s="5"/>
      <c r="G4578" s="5"/>
      <c r="H4578" s="5"/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</row>
    <row r="4579" spans="5:30" ht="15">
      <c r="E4579" s="9"/>
      <c r="F4579" s="5"/>
      <c r="G4579" s="5"/>
      <c r="H4579" s="5"/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</row>
    <row r="4580" spans="5:30" ht="15">
      <c r="E4580" s="9"/>
      <c r="F4580" s="5"/>
      <c r="G4580" s="5"/>
      <c r="H4580" s="5"/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</row>
    <row r="4581" spans="5:30" ht="15">
      <c r="E4581" s="9"/>
      <c r="F4581" s="5"/>
      <c r="G4581" s="5"/>
      <c r="H4581" s="5"/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</row>
    <row r="4582" spans="5:30" ht="15">
      <c r="E4582" s="9"/>
      <c r="F4582" s="5"/>
      <c r="G4582" s="5"/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</row>
    <row r="4583" spans="5:30" ht="15">
      <c r="E4583" s="9"/>
      <c r="F4583" s="5"/>
      <c r="G4583" s="5"/>
      <c r="H4583" s="5"/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</row>
    <row r="4584" spans="5:30" ht="15">
      <c r="E4584" s="9"/>
      <c r="F4584" s="5"/>
      <c r="G4584" s="5"/>
      <c r="H4584" s="5"/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</row>
    <row r="4585" spans="5:30" ht="15">
      <c r="E4585" s="9"/>
      <c r="F4585" s="5"/>
      <c r="G4585" s="5"/>
      <c r="H4585" s="5"/>
      <c r="I4585" s="5"/>
      <c r="J4585" s="5"/>
      <c r="K4585" s="5"/>
      <c r="L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</row>
    <row r="4586" spans="5:30" ht="15">
      <c r="E4586" s="9"/>
      <c r="F4586" s="5"/>
      <c r="G4586" s="5"/>
      <c r="H4586" s="5"/>
      <c r="I4586" s="5"/>
      <c r="J4586" s="5"/>
      <c r="K4586" s="5"/>
      <c r="L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</row>
    <row r="4587" spans="5:30" ht="15">
      <c r="E4587" s="9"/>
      <c r="F4587" s="5"/>
      <c r="G4587" s="5"/>
      <c r="H4587" s="5"/>
      <c r="I4587" s="5"/>
      <c r="J4587" s="5"/>
      <c r="K4587" s="5"/>
      <c r="L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</row>
    <row r="4588" spans="5:30" ht="15">
      <c r="E4588" s="9"/>
      <c r="F4588" s="5"/>
      <c r="G4588" s="5"/>
      <c r="H4588" s="5"/>
      <c r="I4588" s="5"/>
      <c r="J4588" s="5"/>
      <c r="K4588" s="5"/>
      <c r="L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</row>
    <row r="4589" spans="5:30" ht="15">
      <c r="E4589" s="9"/>
      <c r="F4589" s="5"/>
      <c r="G4589" s="5"/>
      <c r="H4589" s="5"/>
      <c r="I4589" s="5"/>
      <c r="J4589" s="5"/>
      <c r="K4589" s="5"/>
      <c r="L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</row>
    <row r="4590" spans="5:30" ht="15">
      <c r="E4590" s="9"/>
      <c r="F4590" s="5"/>
      <c r="G4590" s="5"/>
      <c r="H4590" s="5"/>
      <c r="I4590" s="5"/>
      <c r="J4590" s="5"/>
      <c r="K4590" s="5"/>
      <c r="L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</row>
    <row r="4591" spans="5:30" ht="15">
      <c r="E4591" s="9"/>
      <c r="F4591" s="5"/>
      <c r="G4591" s="5"/>
      <c r="H4591" s="5"/>
      <c r="I4591" s="5"/>
      <c r="J4591" s="5"/>
      <c r="K4591" s="5"/>
      <c r="L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</row>
    <row r="4592" spans="5:30" ht="15">
      <c r="E4592" s="9"/>
      <c r="F4592" s="5"/>
      <c r="G4592" s="5"/>
      <c r="H4592" s="5"/>
      <c r="I4592" s="5"/>
      <c r="J4592" s="5"/>
      <c r="K4592" s="5"/>
      <c r="L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</row>
    <row r="4593" spans="5:30" ht="15">
      <c r="E4593" s="9"/>
      <c r="F4593" s="5"/>
      <c r="G4593" s="5"/>
      <c r="H4593" s="5"/>
      <c r="I4593" s="5"/>
      <c r="J4593" s="5"/>
      <c r="K4593" s="5"/>
      <c r="L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</row>
    <row r="4594" spans="5:30" ht="15">
      <c r="E4594" s="9"/>
      <c r="F4594" s="5"/>
      <c r="G4594" s="5"/>
      <c r="H4594" s="5"/>
      <c r="I4594" s="5"/>
      <c r="J4594" s="5"/>
      <c r="K4594" s="5"/>
      <c r="L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</row>
    <row r="4595" spans="5:30" ht="15">
      <c r="E4595" s="9"/>
      <c r="F4595" s="5"/>
      <c r="G4595" s="5"/>
      <c r="H4595" s="5"/>
      <c r="I4595" s="5"/>
      <c r="J4595" s="5"/>
      <c r="K4595" s="5"/>
      <c r="L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</row>
    <row r="4596" spans="5:30" ht="15">
      <c r="E4596" s="9"/>
      <c r="F4596" s="5"/>
      <c r="G4596" s="5"/>
      <c r="H4596" s="5"/>
      <c r="I4596" s="5"/>
      <c r="J4596" s="5"/>
      <c r="K4596" s="5"/>
      <c r="L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</row>
    <row r="4597" spans="5:30" ht="15">
      <c r="E4597" s="9"/>
      <c r="F4597" s="5"/>
      <c r="G4597" s="5"/>
      <c r="H4597" s="5"/>
      <c r="I4597" s="5"/>
      <c r="J4597" s="5"/>
      <c r="K4597" s="5"/>
      <c r="L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</row>
    <row r="4598" spans="5:30" ht="15">
      <c r="E4598" s="9"/>
      <c r="F4598" s="5"/>
      <c r="G4598" s="5"/>
      <c r="H4598" s="5"/>
      <c r="I4598" s="5"/>
      <c r="J4598" s="5"/>
      <c r="K4598" s="5"/>
      <c r="L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</row>
    <row r="4599" spans="5:30" ht="15">
      <c r="E4599" s="9"/>
      <c r="F4599" s="5"/>
      <c r="G4599" s="5"/>
      <c r="H4599" s="5"/>
      <c r="I4599" s="5"/>
      <c r="J4599" s="5"/>
      <c r="K4599" s="5"/>
      <c r="L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</row>
    <row r="4600" spans="5:30" ht="15">
      <c r="E4600" s="9"/>
      <c r="F4600" s="5"/>
      <c r="G4600" s="5"/>
      <c r="H4600" s="5"/>
      <c r="I4600" s="5"/>
      <c r="J4600" s="5"/>
      <c r="K4600" s="5"/>
      <c r="L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</row>
    <row r="4601" spans="5:30" ht="15">
      <c r="E4601" s="9"/>
      <c r="F4601" s="5"/>
      <c r="G4601" s="5"/>
      <c r="H4601" s="5"/>
      <c r="I4601" s="5"/>
      <c r="J4601" s="5"/>
      <c r="K4601" s="5"/>
      <c r="L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</row>
    <row r="4602" spans="5:30" ht="15">
      <c r="E4602" s="9"/>
      <c r="F4602" s="5"/>
      <c r="G4602" s="5"/>
      <c r="H4602" s="5"/>
      <c r="I4602" s="5"/>
      <c r="J4602" s="5"/>
      <c r="K4602" s="5"/>
      <c r="L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</row>
    <row r="4603" spans="5:30" ht="15">
      <c r="E4603" s="9"/>
      <c r="F4603" s="5"/>
      <c r="G4603" s="5"/>
      <c r="H4603" s="5"/>
      <c r="I4603" s="5"/>
      <c r="J4603" s="5"/>
      <c r="K4603" s="5"/>
      <c r="L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</row>
    <row r="4604" spans="5:30" ht="15">
      <c r="E4604" s="9"/>
      <c r="F4604" s="5"/>
      <c r="G4604" s="5"/>
      <c r="H4604" s="5"/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</row>
    <row r="4605" spans="5:30" ht="15">
      <c r="E4605" s="9"/>
      <c r="F4605" s="5"/>
      <c r="G4605" s="5"/>
      <c r="H4605" s="5"/>
      <c r="I4605" s="5"/>
      <c r="J4605" s="5"/>
      <c r="K4605" s="5"/>
      <c r="L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</row>
    <row r="4606" spans="5:30" ht="15">
      <c r="E4606" s="9"/>
      <c r="F4606" s="5"/>
      <c r="G4606" s="5"/>
      <c r="H4606" s="5"/>
      <c r="I4606" s="5"/>
      <c r="J4606" s="5"/>
      <c r="K4606" s="5"/>
      <c r="L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</row>
    <row r="4607" spans="5:30" ht="15">
      <c r="E4607" s="9"/>
      <c r="F4607" s="5"/>
      <c r="G4607" s="5"/>
      <c r="H4607" s="5"/>
      <c r="I4607" s="5"/>
      <c r="J4607" s="5"/>
      <c r="K4607" s="5"/>
      <c r="L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</row>
    <row r="4608" spans="5:30" ht="15">
      <c r="E4608" s="9"/>
      <c r="F4608" s="5"/>
      <c r="G4608" s="5"/>
      <c r="H4608" s="5"/>
      <c r="I4608" s="5"/>
      <c r="J4608" s="5"/>
      <c r="K4608" s="5"/>
      <c r="L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</row>
    <row r="4609" spans="5:30" ht="15">
      <c r="E4609" s="9"/>
      <c r="F4609" s="5"/>
      <c r="G4609" s="5"/>
      <c r="H4609" s="5"/>
      <c r="I4609" s="5"/>
      <c r="J4609" s="5"/>
      <c r="K4609" s="5"/>
      <c r="L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</row>
    <row r="4610" spans="5:30" ht="15">
      <c r="E4610" s="9"/>
      <c r="F4610" s="5"/>
      <c r="G4610" s="5"/>
      <c r="H4610" s="5"/>
      <c r="I4610" s="5"/>
      <c r="J4610" s="5"/>
      <c r="K4610" s="5"/>
      <c r="L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</row>
    <row r="4611" spans="5:30" ht="15">
      <c r="E4611" s="9"/>
      <c r="F4611" s="5"/>
      <c r="G4611" s="5"/>
      <c r="H4611" s="5"/>
      <c r="I4611" s="5"/>
      <c r="J4611" s="5"/>
      <c r="K4611" s="5"/>
      <c r="L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</row>
    <row r="4612" spans="5:30" ht="15">
      <c r="E4612" s="9"/>
      <c r="F4612" s="5"/>
      <c r="G4612" s="5"/>
      <c r="H4612" s="5"/>
      <c r="I4612" s="5"/>
      <c r="J4612" s="5"/>
      <c r="K4612" s="5"/>
      <c r="L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</row>
    <row r="4613" spans="5:30" ht="15">
      <c r="E4613" s="9"/>
      <c r="F4613" s="5"/>
      <c r="G4613" s="5"/>
      <c r="H4613" s="5"/>
      <c r="I4613" s="5"/>
      <c r="J4613" s="5"/>
      <c r="K4613" s="5"/>
      <c r="L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</row>
    <row r="4614" spans="5:30" ht="15">
      <c r="E4614" s="9"/>
      <c r="F4614" s="5"/>
      <c r="G4614" s="5"/>
      <c r="H4614" s="5"/>
      <c r="I4614" s="5"/>
      <c r="J4614" s="5"/>
      <c r="K4614" s="5"/>
      <c r="L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</row>
    <row r="4615" spans="5:30" ht="15">
      <c r="E4615" s="9"/>
      <c r="F4615" s="5"/>
      <c r="G4615" s="5"/>
      <c r="H4615" s="5"/>
      <c r="I4615" s="5"/>
      <c r="J4615" s="5"/>
      <c r="K4615" s="5"/>
      <c r="L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</row>
    <row r="4616" spans="5:30" ht="15">
      <c r="E4616" s="9"/>
      <c r="F4616" s="5"/>
      <c r="G4616" s="5"/>
      <c r="H4616" s="5"/>
      <c r="I4616" s="5"/>
      <c r="J4616" s="5"/>
      <c r="K4616" s="5"/>
      <c r="L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</row>
    <row r="4617" spans="5:30" ht="15">
      <c r="E4617" s="9"/>
      <c r="F4617" s="5"/>
      <c r="G4617" s="5"/>
      <c r="H4617" s="5"/>
      <c r="I4617" s="5"/>
      <c r="J4617" s="5"/>
      <c r="K4617" s="5"/>
      <c r="L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</row>
    <row r="4618" spans="5:30" ht="15">
      <c r="E4618" s="9"/>
      <c r="F4618" s="5"/>
      <c r="G4618" s="5"/>
      <c r="H4618" s="5"/>
      <c r="I4618" s="5"/>
      <c r="J4618" s="5"/>
      <c r="K4618" s="5"/>
      <c r="L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</row>
    <row r="4619" spans="5:30" ht="15">
      <c r="E4619" s="9"/>
      <c r="F4619" s="5"/>
      <c r="G4619" s="5"/>
      <c r="H4619" s="5"/>
      <c r="I4619" s="5"/>
      <c r="J4619" s="5"/>
      <c r="K4619" s="5"/>
      <c r="L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</row>
    <row r="4620" spans="5:30" ht="15">
      <c r="E4620" s="9"/>
      <c r="F4620" s="5"/>
      <c r="G4620" s="5"/>
      <c r="H4620" s="5"/>
      <c r="I4620" s="5"/>
      <c r="J4620" s="5"/>
      <c r="K4620" s="5"/>
      <c r="L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</row>
    <row r="4621" spans="5:30" ht="15">
      <c r="E4621" s="9"/>
      <c r="F4621" s="5"/>
      <c r="G4621" s="5"/>
      <c r="H4621" s="5"/>
      <c r="I4621" s="5"/>
      <c r="J4621" s="5"/>
      <c r="K4621" s="5"/>
      <c r="L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</row>
    <row r="4622" spans="5:30" ht="15">
      <c r="E4622" s="9"/>
      <c r="F4622" s="5"/>
      <c r="G4622" s="5"/>
      <c r="H4622" s="5"/>
      <c r="I4622" s="5"/>
      <c r="J4622" s="5"/>
      <c r="K4622" s="5"/>
      <c r="L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</row>
    <row r="4623" spans="5:30" ht="15">
      <c r="E4623" s="9"/>
      <c r="F4623" s="5"/>
      <c r="G4623" s="5"/>
      <c r="H4623" s="5"/>
      <c r="I4623" s="5"/>
      <c r="J4623" s="5"/>
      <c r="K4623" s="5"/>
      <c r="L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</row>
    <row r="4624" spans="5:30" ht="15">
      <c r="E4624" s="9"/>
      <c r="F4624" s="5"/>
      <c r="G4624" s="5"/>
      <c r="H4624" s="5"/>
      <c r="I4624" s="5"/>
      <c r="J4624" s="5"/>
      <c r="K4624" s="5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</row>
    <row r="4625" spans="5:30" ht="15">
      <c r="E4625" s="9"/>
      <c r="F4625" s="5"/>
      <c r="G4625" s="5"/>
      <c r="H4625" s="5"/>
      <c r="I4625" s="5"/>
      <c r="J4625" s="5"/>
      <c r="K4625" s="5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</row>
    <row r="4626" spans="5:30" ht="15">
      <c r="E4626" s="9"/>
      <c r="F4626" s="5"/>
      <c r="G4626" s="5"/>
      <c r="H4626" s="5"/>
      <c r="I4626" s="5"/>
      <c r="J4626" s="5"/>
      <c r="K4626" s="5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</row>
    <row r="4627" spans="5:30" ht="15">
      <c r="E4627" s="9"/>
      <c r="F4627" s="5"/>
      <c r="G4627" s="5"/>
      <c r="H4627" s="5"/>
      <c r="I4627" s="5"/>
      <c r="J4627" s="5"/>
      <c r="K4627" s="5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</row>
    <row r="4628" spans="5:30" ht="15">
      <c r="E4628" s="9"/>
      <c r="F4628" s="5"/>
      <c r="G4628" s="5"/>
      <c r="H4628" s="5"/>
      <c r="I4628" s="5"/>
      <c r="J4628" s="5"/>
      <c r="K4628" s="5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</row>
    <row r="4629" spans="5:30" ht="15">
      <c r="E4629" s="9"/>
      <c r="F4629" s="5"/>
      <c r="G4629" s="5"/>
      <c r="H4629" s="5"/>
      <c r="I4629" s="5"/>
      <c r="J4629" s="5"/>
      <c r="K4629" s="5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</row>
    <row r="4630" spans="5:30" ht="15">
      <c r="E4630" s="9"/>
      <c r="F4630" s="5"/>
      <c r="G4630" s="5"/>
      <c r="H4630" s="5"/>
      <c r="I4630" s="5"/>
      <c r="J4630" s="5"/>
      <c r="K4630" s="5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</row>
    <row r="4631" spans="5:30" ht="15">
      <c r="E4631" s="9"/>
      <c r="F4631" s="5"/>
      <c r="G4631" s="5"/>
      <c r="H4631" s="5"/>
      <c r="I4631" s="5"/>
      <c r="J4631" s="5"/>
      <c r="K4631" s="5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</row>
    <row r="4632" spans="5:30" ht="15">
      <c r="E4632" s="9"/>
      <c r="F4632" s="5"/>
      <c r="G4632" s="5"/>
      <c r="H4632" s="5"/>
      <c r="I4632" s="5"/>
      <c r="J4632" s="5"/>
      <c r="K4632" s="5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</row>
    <row r="4633" spans="5:30" ht="15">
      <c r="E4633" s="9"/>
      <c r="F4633" s="5"/>
      <c r="G4633" s="5"/>
      <c r="H4633" s="5"/>
      <c r="I4633" s="5"/>
      <c r="J4633" s="5"/>
      <c r="K4633" s="5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</row>
    <row r="4634" spans="5:30" ht="15">
      <c r="E4634" s="9"/>
      <c r="F4634" s="5"/>
      <c r="G4634" s="5"/>
      <c r="H4634" s="5"/>
      <c r="I4634" s="5"/>
      <c r="J4634" s="5"/>
      <c r="K4634" s="5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</row>
    <row r="4635" spans="5:30" ht="15">
      <c r="E4635" s="9"/>
      <c r="F4635" s="5"/>
      <c r="G4635" s="5"/>
      <c r="H4635" s="5"/>
      <c r="I4635" s="5"/>
      <c r="J4635" s="5"/>
      <c r="K4635" s="5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</row>
    <row r="4636" spans="5:30" ht="15">
      <c r="E4636" s="9"/>
      <c r="F4636" s="5"/>
      <c r="G4636" s="5"/>
      <c r="H4636" s="5"/>
      <c r="I4636" s="5"/>
      <c r="J4636" s="5"/>
      <c r="K4636" s="5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</row>
    <row r="4637" spans="5:30" ht="15">
      <c r="E4637" s="9"/>
      <c r="F4637" s="5"/>
      <c r="G4637" s="5"/>
      <c r="H4637" s="5"/>
      <c r="I4637" s="5"/>
      <c r="J4637" s="5"/>
      <c r="K4637" s="5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</row>
    <row r="4638" spans="5:30" ht="15">
      <c r="E4638" s="9"/>
      <c r="F4638" s="5"/>
      <c r="G4638" s="5"/>
      <c r="H4638" s="5"/>
      <c r="I4638" s="5"/>
      <c r="J4638" s="5"/>
      <c r="K4638" s="5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</row>
    <row r="4639" spans="5:30" ht="15">
      <c r="E4639" s="9"/>
      <c r="F4639" s="5"/>
      <c r="G4639" s="5"/>
      <c r="H4639" s="5"/>
      <c r="I4639" s="5"/>
      <c r="J4639" s="5"/>
      <c r="K4639" s="5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</row>
    <row r="4640" spans="5:30" ht="15">
      <c r="E4640" s="9"/>
      <c r="F4640" s="5"/>
      <c r="G4640" s="5"/>
      <c r="H4640" s="5"/>
      <c r="I4640" s="5"/>
      <c r="J4640" s="5"/>
      <c r="K4640" s="5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</row>
    <row r="4641" spans="5:30" ht="15">
      <c r="E4641" s="9"/>
      <c r="F4641" s="5"/>
      <c r="G4641" s="5"/>
      <c r="H4641" s="5"/>
      <c r="I4641" s="5"/>
      <c r="J4641" s="5"/>
      <c r="K4641" s="5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</row>
    <row r="4642" spans="5:30" ht="15">
      <c r="E4642" s="9"/>
      <c r="F4642" s="5"/>
      <c r="G4642" s="5"/>
      <c r="H4642" s="5"/>
      <c r="I4642" s="5"/>
      <c r="J4642" s="5"/>
      <c r="K4642" s="5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</row>
    <row r="4643" spans="5:30" ht="15">
      <c r="E4643" s="9"/>
      <c r="F4643" s="5"/>
      <c r="G4643" s="5"/>
      <c r="H4643" s="5"/>
      <c r="I4643" s="5"/>
      <c r="J4643" s="5"/>
      <c r="K4643" s="5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</row>
    <row r="4644" spans="5:30" ht="15">
      <c r="E4644" s="9"/>
      <c r="F4644" s="5"/>
      <c r="G4644" s="5"/>
      <c r="H4644" s="5"/>
      <c r="I4644" s="5"/>
      <c r="J4644" s="5"/>
      <c r="K4644" s="5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</row>
    <row r="4645" spans="5:30" ht="15">
      <c r="E4645" s="9"/>
      <c r="F4645" s="5"/>
      <c r="G4645" s="5"/>
      <c r="H4645" s="5"/>
      <c r="I4645" s="5"/>
      <c r="J4645" s="5"/>
      <c r="K4645" s="5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</row>
    <row r="4646" spans="5:30" ht="15">
      <c r="E4646" s="9"/>
      <c r="F4646" s="5"/>
      <c r="G4646" s="5"/>
      <c r="H4646" s="5"/>
      <c r="I4646" s="5"/>
      <c r="J4646" s="5"/>
      <c r="K4646" s="5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</row>
    <row r="4647" spans="5:30" ht="15">
      <c r="E4647" s="9"/>
      <c r="F4647" s="5"/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</row>
    <row r="4648" spans="5:30" ht="15">
      <c r="E4648" s="9"/>
      <c r="F4648" s="5"/>
      <c r="G4648" s="5"/>
      <c r="H4648" s="5"/>
      <c r="I4648" s="5"/>
      <c r="J4648" s="5"/>
      <c r="K4648" s="5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</row>
    <row r="4649" spans="5:30" ht="15">
      <c r="E4649" s="9"/>
      <c r="F4649" s="5"/>
      <c r="G4649" s="5"/>
      <c r="H4649" s="5"/>
      <c r="I4649" s="5"/>
      <c r="J4649" s="5"/>
      <c r="K4649" s="5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</row>
    <row r="4650" spans="5:30" ht="15">
      <c r="E4650" s="9"/>
      <c r="F4650" s="5"/>
      <c r="G4650" s="5"/>
      <c r="H4650" s="5"/>
      <c r="I4650" s="5"/>
      <c r="J4650" s="5"/>
      <c r="K4650" s="5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</row>
    <row r="4651" spans="5:30" ht="15">
      <c r="E4651" s="9"/>
      <c r="F4651" s="5"/>
      <c r="G4651" s="5"/>
      <c r="H4651" s="5"/>
      <c r="I4651" s="5"/>
      <c r="J4651" s="5"/>
      <c r="K4651" s="5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</row>
    <row r="4652" spans="5:30" ht="15">
      <c r="E4652" s="9"/>
      <c r="F4652" s="5"/>
      <c r="G4652" s="5"/>
      <c r="H4652" s="5"/>
      <c r="I4652" s="5"/>
      <c r="J4652" s="5"/>
      <c r="K4652" s="5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</row>
    <row r="4653" spans="5:30" ht="15">
      <c r="E4653" s="9"/>
      <c r="F4653" s="5"/>
      <c r="G4653" s="5"/>
      <c r="H4653" s="5"/>
      <c r="I4653" s="5"/>
      <c r="J4653" s="5"/>
      <c r="K4653" s="5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</row>
    <row r="4654" spans="5:30" ht="15">
      <c r="E4654" s="9"/>
      <c r="F4654" s="5"/>
      <c r="G4654" s="5"/>
      <c r="H4654" s="5"/>
      <c r="I4654" s="5"/>
      <c r="J4654" s="5"/>
      <c r="K4654" s="5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</row>
    <row r="4655" spans="5:30" ht="15">
      <c r="E4655" s="9"/>
      <c r="F4655" s="5"/>
      <c r="G4655" s="5"/>
      <c r="H4655" s="5"/>
      <c r="I4655" s="5"/>
      <c r="J4655" s="5"/>
      <c r="K4655" s="5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</row>
    <row r="4656" spans="5:30" ht="15">
      <c r="E4656" s="9"/>
      <c r="F4656" s="5"/>
      <c r="G4656" s="5"/>
      <c r="H4656" s="5"/>
      <c r="I4656" s="5"/>
      <c r="J4656" s="5"/>
      <c r="K4656" s="5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</row>
    <row r="4657" spans="5:30" ht="15">
      <c r="E4657" s="9"/>
      <c r="F4657" s="5"/>
      <c r="G4657" s="5"/>
      <c r="H4657" s="5"/>
      <c r="I4657" s="5"/>
      <c r="J4657" s="5"/>
      <c r="K4657" s="5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</row>
    <row r="4658" spans="5:30" ht="15">
      <c r="E4658" s="9"/>
      <c r="F4658" s="5"/>
      <c r="G4658" s="5"/>
      <c r="H4658" s="5"/>
      <c r="I4658" s="5"/>
      <c r="J4658" s="5"/>
      <c r="K4658" s="5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</row>
    <row r="4659" spans="5:30" ht="15">
      <c r="E4659" s="9"/>
      <c r="F4659" s="5"/>
      <c r="G4659" s="5"/>
      <c r="H4659" s="5"/>
      <c r="I4659" s="5"/>
      <c r="J4659" s="5"/>
      <c r="K4659" s="5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</row>
    <row r="4660" spans="5:30" ht="15">
      <c r="E4660" s="9"/>
      <c r="F4660" s="5"/>
      <c r="G4660" s="5"/>
      <c r="H4660" s="5"/>
      <c r="I4660" s="5"/>
      <c r="J4660" s="5"/>
      <c r="K4660" s="5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</row>
    <row r="4661" spans="5:30" ht="15">
      <c r="E4661" s="9"/>
      <c r="F4661" s="5"/>
      <c r="G4661" s="5"/>
      <c r="H4661" s="5"/>
      <c r="I4661" s="5"/>
      <c r="J4661" s="5"/>
      <c r="K4661" s="5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</row>
    <row r="4662" spans="5:30" ht="15">
      <c r="E4662" s="9"/>
      <c r="F4662" s="5"/>
      <c r="G4662" s="5"/>
      <c r="H4662" s="5"/>
      <c r="I4662" s="5"/>
      <c r="J4662" s="5"/>
      <c r="K4662" s="5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</row>
    <row r="4663" spans="5:30" ht="15">
      <c r="E4663" s="9"/>
      <c r="F4663" s="5"/>
      <c r="G4663" s="5"/>
      <c r="H4663" s="5"/>
      <c r="I4663" s="5"/>
      <c r="J4663" s="5"/>
      <c r="K4663" s="5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</row>
    <row r="4664" spans="5:30" ht="15">
      <c r="E4664" s="9"/>
      <c r="F4664" s="5"/>
      <c r="G4664" s="5"/>
      <c r="H4664" s="5"/>
      <c r="I4664" s="5"/>
      <c r="J4664" s="5"/>
      <c r="K4664" s="5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</row>
    <row r="4665" spans="5:30" ht="15">
      <c r="E4665" s="9"/>
      <c r="F4665" s="5"/>
      <c r="G4665" s="5"/>
      <c r="H4665" s="5"/>
      <c r="I4665" s="5"/>
      <c r="J4665" s="5"/>
      <c r="K4665" s="5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</row>
    <row r="4666" spans="5:30" ht="15">
      <c r="E4666" s="9"/>
      <c r="F4666" s="5"/>
      <c r="G4666" s="5"/>
      <c r="H4666" s="5"/>
      <c r="I4666" s="5"/>
      <c r="J4666" s="5"/>
      <c r="K4666" s="5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</row>
    <row r="4667" spans="5:30" ht="15">
      <c r="E4667" s="9"/>
      <c r="F4667" s="5"/>
      <c r="G4667" s="5"/>
      <c r="H4667" s="5"/>
      <c r="I4667" s="5"/>
      <c r="J4667" s="5"/>
      <c r="K4667" s="5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</row>
    <row r="4668" spans="5:30" ht="15">
      <c r="E4668" s="9"/>
      <c r="F4668" s="5"/>
      <c r="G4668" s="5"/>
      <c r="H4668" s="5"/>
      <c r="I4668" s="5"/>
      <c r="J4668" s="5"/>
      <c r="K4668" s="5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</row>
    <row r="4669" spans="5:30" ht="15">
      <c r="E4669" s="9"/>
      <c r="F4669" s="5"/>
      <c r="G4669" s="5"/>
      <c r="H4669" s="5"/>
      <c r="I4669" s="5"/>
      <c r="J4669" s="5"/>
      <c r="K4669" s="5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</row>
    <row r="4670" spans="5:30" ht="15">
      <c r="E4670" s="9"/>
      <c r="F4670" s="5"/>
      <c r="G4670" s="5"/>
      <c r="H4670" s="5"/>
      <c r="I4670" s="5"/>
      <c r="J4670" s="5"/>
      <c r="K4670" s="5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</row>
    <row r="4671" spans="5:30" ht="15">
      <c r="E4671" s="9"/>
      <c r="F4671" s="5"/>
      <c r="G4671" s="5"/>
      <c r="H4671" s="5"/>
      <c r="I4671" s="5"/>
      <c r="J4671" s="5"/>
      <c r="K4671" s="5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</row>
    <row r="4672" spans="5:30" ht="15">
      <c r="E4672" s="9"/>
      <c r="F4672" s="5"/>
      <c r="G4672" s="5"/>
      <c r="H4672" s="5"/>
      <c r="I4672" s="5"/>
      <c r="J4672" s="5"/>
      <c r="K4672" s="5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</row>
    <row r="4673" spans="5:30" ht="15">
      <c r="E4673" s="9"/>
      <c r="F4673" s="5"/>
      <c r="G4673" s="5"/>
      <c r="H4673" s="5"/>
      <c r="I4673" s="5"/>
      <c r="J4673" s="5"/>
      <c r="K4673" s="5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</row>
    <row r="4674" spans="5:30" ht="15">
      <c r="E4674" s="9"/>
      <c r="F4674" s="5"/>
      <c r="G4674" s="5"/>
      <c r="H4674" s="5"/>
      <c r="I4674" s="5"/>
      <c r="J4674" s="5"/>
      <c r="K4674" s="5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</row>
    <row r="4675" spans="5:30" ht="15">
      <c r="E4675" s="9"/>
      <c r="F4675" s="5"/>
      <c r="G4675" s="5"/>
      <c r="H4675" s="5"/>
      <c r="I4675" s="5"/>
      <c r="J4675" s="5"/>
      <c r="K4675" s="5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</row>
    <row r="4676" spans="5:30" ht="15">
      <c r="E4676" s="9"/>
      <c r="F4676" s="5"/>
      <c r="G4676" s="5"/>
      <c r="H4676" s="5"/>
      <c r="I4676" s="5"/>
      <c r="J4676" s="5"/>
      <c r="K4676" s="5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</row>
    <row r="4677" spans="5:30" ht="15">
      <c r="E4677" s="9"/>
      <c r="F4677" s="5"/>
      <c r="G4677" s="5"/>
      <c r="H4677" s="5"/>
      <c r="I4677" s="5"/>
      <c r="J4677" s="5"/>
      <c r="K4677" s="5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</row>
    <row r="4678" spans="5:30" ht="15">
      <c r="E4678" s="9"/>
      <c r="F4678" s="5"/>
      <c r="G4678" s="5"/>
      <c r="H4678" s="5"/>
      <c r="I4678" s="5"/>
      <c r="J4678" s="5"/>
      <c r="K4678" s="5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</row>
    <row r="4679" spans="5:30" ht="15">
      <c r="E4679" s="9"/>
      <c r="F4679" s="5"/>
      <c r="G4679" s="5"/>
      <c r="H4679" s="5"/>
      <c r="I4679" s="5"/>
      <c r="J4679" s="5"/>
      <c r="K4679" s="5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</row>
    <row r="4680" spans="5:30" ht="15">
      <c r="E4680" s="9"/>
      <c r="F4680" s="5"/>
      <c r="G4680" s="5"/>
      <c r="H4680" s="5"/>
      <c r="I4680" s="5"/>
      <c r="J4680" s="5"/>
      <c r="K4680" s="5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</row>
    <row r="4681" spans="5:30" ht="15">
      <c r="E4681" s="9"/>
      <c r="F4681" s="5"/>
      <c r="G4681" s="5"/>
      <c r="H4681" s="5"/>
      <c r="I4681" s="5"/>
      <c r="J4681" s="5"/>
      <c r="K4681" s="5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</row>
    <row r="4682" spans="5:30" ht="15">
      <c r="E4682" s="9"/>
      <c r="F4682" s="5"/>
      <c r="G4682" s="5"/>
      <c r="H4682" s="5"/>
      <c r="I4682" s="5"/>
      <c r="J4682" s="5"/>
      <c r="K4682" s="5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</row>
    <row r="4683" spans="5:30" ht="15">
      <c r="E4683" s="9"/>
      <c r="F4683" s="5"/>
      <c r="G4683" s="5"/>
      <c r="H4683" s="5"/>
      <c r="I4683" s="5"/>
      <c r="J4683" s="5"/>
      <c r="K4683" s="5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</row>
    <row r="4684" spans="5:30" ht="15">
      <c r="E4684" s="9"/>
      <c r="F4684" s="5"/>
      <c r="G4684" s="5"/>
      <c r="H4684" s="5"/>
      <c r="I4684" s="5"/>
      <c r="J4684" s="5"/>
      <c r="K4684" s="5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</row>
    <row r="4685" spans="5:30" ht="15">
      <c r="E4685" s="9"/>
      <c r="F4685" s="5"/>
      <c r="G4685" s="5"/>
      <c r="H4685" s="5"/>
      <c r="I4685" s="5"/>
      <c r="J4685" s="5"/>
      <c r="K4685" s="5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</row>
    <row r="4686" spans="5:30" ht="15">
      <c r="E4686" s="9"/>
      <c r="F4686" s="5"/>
      <c r="G4686" s="5"/>
      <c r="H4686" s="5"/>
      <c r="I4686" s="5"/>
      <c r="J4686" s="5"/>
      <c r="K4686" s="5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</row>
    <row r="4687" spans="5:30" ht="15">
      <c r="E4687" s="9"/>
      <c r="F4687" s="5"/>
      <c r="G4687" s="5"/>
      <c r="H4687" s="5"/>
      <c r="I4687" s="5"/>
      <c r="J4687" s="5"/>
      <c r="K4687" s="5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</row>
    <row r="4688" spans="5:30" ht="15">
      <c r="E4688" s="9"/>
      <c r="F4688" s="5"/>
      <c r="G4688" s="5"/>
      <c r="H4688" s="5"/>
      <c r="I4688" s="5"/>
      <c r="J4688" s="5"/>
      <c r="K4688" s="5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</row>
    <row r="4689" spans="5:30" ht="15">
      <c r="E4689" s="9"/>
      <c r="F4689" s="5"/>
      <c r="G4689" s="5"/>
      <c r="H4689" s="5"/>
      <c r="I4689" s="5"/>
      <c r="J4689" s="5"/>
      <c r="K4689" s="5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</row>
    <row r="4690" spans="5:30" ht="15">
      <c r="E4690" s="9"/>
      <c r="F4690" s="5"/>
      <c r="G4690" s="5"/>
      <c r="H4690" s="5"/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</row>
    <row r="4691" spans="5:30" ht="15">
      <c r="E4691" s="9"/>
      <c r="F4691" s="5"/>
      <c r="G4691" s="5"/>
      <c r="H4691" s="5"/>
      <c r="I4691" s="5"/>
      <c r="J4691" s="5"/>
      <c r="K4691" s="5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</row>
    <row r="4692" spans="5:30" ht="15">
      <c r="E4692" s="9"/>
      <c r="F4692" s="5"/>
      <c r="G4692" s="5"/>
      <c r="H4692" s="5"/>
      <c r="I4692" s="5"/>
      <c r="J4692" s="5"/>
      <c r="K4692" s="5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</row>
    <row r="4693" spans="5:30" ht="15">
      <c r="E4693" s="9"/>
      <c r="F4693" s="5"/>
      <c r="G4693" s="5"/>
      <c r="H4693" s="5"/>
      <c r="I4693" s="5"/>
      <c r="J4693" s="5"/>
      <c r="K4693" s="5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</row>
    <row r="4694" spans="5:30" ht="15">
      <c r="E4694" s="9"/>
      <c r="F4694" s="5"/>
      <c r="G4694" s="5"/>
      <c r="H4694" s="5"/>
      <c r="I4694" s="5"/>
      <c r="J4694" s="5"/>
      <c r="K4694" s="5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</row>
    <row r="4695" spans="5:30" ht="15">
      <c r="E4695" s="9"/>
      <c r="F4695" s="5"/>
      <c r="G4695" s="5"/>
      <c r="H4695" s="5"/>
      <c r="I4695" s="5"/>
      <c r="J4695" s="5"/>
      <c r="K4695" s="5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</row>
    <row r="4696" spans="5:30" ht="15">
      <c r="E4696" s="9"/>
      <c r="F4696" s="5"/>
      <c r="G4696" s="5"/>
      <c r="H4696" s="5"/>
      <c r="I4696" s="5"/>
      <c r="J4696" s="5"/>
      <c r="K4696" s="5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</row>
    <row r="4697" spans="5:30" ht="15">
      <c r="E4697" s="9"/>
      <c r="F4697" s="5"/>
      <c r="G4697" s="5"/>
      <c r="H4697" s="5"/>
      <c r="I4697" s="5"/>
      <c r="J4697" s="5"/>
      <c r="K4697" s="5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</row>
    <row r="4698" spans="5:30" ht="15">
      <c r="E4698" s="9"/>
      <c r="F4698" s="5"/>
      <c r="G4698" s="5"/>
      <c r="H4698" s="5"/>
      <c r="I4698" s="5"/>
      <c r="J4698" s="5"/>
      <c r="K4698" s="5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</row>
    <row r="4699" spans="5:30" ht="15">
      <c r="E4699" s="9"/>
      <c r="F4699" s="5"/>
      <c r="G4699" s="5"/>
      <c r="H4699" s="5"/>
      <c r="I4699" s="5"/>
      <c r="J4699" s="5"/>
      <c r="K4699" s="5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</row>
    <row r="4700" spans="5:30" ht="15">
      <c r="E4700" s="9"/>
      <c r="F4700" s="5"/>
      <c r="G4700" s="5"/>
      <c r="H4700" s="5"/>
      <c r="I4700" s="5"/>
      <c r="J4700" s="5"/>
      <c r="K4700" s="5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</row>
    <row r="4701" spans="5:30" ht="15">
      <c r="E4701" s="9"/>
      <c r="F4701" s="5"/>
      <c r="G4701" s="5"/>
      <c r="H4701" s="5"/>
      <c r="I4701" s="5"/>
      <c r="J4701" s="5"/>
      <c r="K4701" s="5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</row>
    <row r="4702" spans="5:30" ht="15">
      <c r="E4702" s="9"/>
      <c r="F4702" s="5"/>
      <c r="G4702" s="5"/>
      <c r="H4702" s="5"/>
      <c r="I4702" s="5"/>
      <c r="J4702" s="5"/>
      <c r="K4702" s="5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</row>
    <row r="4703" spans="5:30" ht="15">
      <c r="E4703" s="9"/>
      <c r="F4703" s="5"/>
      <c r="G4703" s="5"/>
      <c r="H4703" s="5"/>
      <c r="I4703" s="5"/>
      <c r="J4703" s="5"/>
      <c r="K4703" s="5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</row>
    <row r="4704" spans="5:30" ht="15">
      <c r="E4704" s="9"/>
      <c r="F4704" s="5"/>
      <c r="G4704" s="5"/>
      <c r="H4704" s="5"/>
      <c r="I4704" s="5"/>
      <c r="J4704" s="5"/>
      <c r="K4704" s="5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</row>
    <row r="4705" spans="5:30" ht="15">
      <c r="E4705" s="9"/>
      <c r="F4705" s="5"/>
      <c r="G4705" s="5"/>
      <c r="H4705" s="5"/>
      <c r="I4705" s="5"/>
      <c r="J4705" s="5"/>
      <c r="K4705" s="5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</row>
    <row r="4706" spans="5:30" ht="15">
      <c r="E4706" s="9"/>
      <c r="F4706" s="5"/>
      <c r="G4706" s="5"/>
      <c r="H4706" s="5"/>
      <c r="I4706" s="5"/>
      <c r="J4706" s="5"/>
      <c r="K4706" s="5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</row>
    <row r="4707" spans="5:30" ht="15">
      <c r="E4707" s="9"/>
      <c r="F4707" s="5"/>
      <c r="G4707" s="5"/>
      <c r="H4707" s="5"/>
      <c r="I4707" s="5"/>
      <c r="J4707" s="5"/>
      <c r="K4707" s="5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</row>
    <row r="4708" spans="5:30" ht="15">
      <c r="E4708" s="9"/>
      <c r="F4708" s="5"/>
      <c r="G4708" s="5"/>
      <c r="H4708" s="5"/>
      <c r="I4708" s="5"/>
      <c r="J4708" s="5"/>
      <c r="K4708" s="5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</row>
    <row r="4709" spans="5:30" ht="15">
      <c r="E4709" s="9"/>
      <c r="F4709" s="5"/>
      <c r="G4709" s="5"/>
      <c r="H4709" s="5"/>
      <c r="I4709" s="5"/>
      <c r="J4709" s="5"/>
      <c r="K4709" s="5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</row>
    <row r="4710" spans="5:30" ht="15">
      <c r="E4710" s="9"/>
      <c r="F4710" s="5"/>
      <c r="G4710" s="5"/>
      <c r="H4710" s="5"/>
      <c r="I4710" s="5"/>
      <c r="J4710" s="5"/>
      <c r="K4710" s="5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</row>
    <row r="4711" spans="5:30" ht="15">
      <c r="E4711" s="9"/>
      <c r="F4711" s="5"/>
      <c r="G4711" s="5"/>
      <c r="H4711" s="5"/>
      <c r="I4711" s="5"/>
      <c r="J4711" s="5"/>
      <c r="K4711" s="5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</row>
    <row r="4712" spans="5:30" ht="15">
      <c r="E4712" s="9"/>
      <c r="F4712" s="5"/>
      <c r="G4712" s="5"/>
      <c r="H4712" s="5"/>
      <c r="I4712" s="5"/>
      <c r="J4712" s="5"/>
      <c r="K4712" s="5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</row>
    <row r="4713" spans="5:30" ht="15">
      <c r="E4713" s="9"/>
      <c r="F4713" s="5"/>
      <c r="G4713" s="5"/>
      <c r="H4713" s="5"/>
      <c r="I4713" s="5"/>
      <c r="J4713" s="5"/>
      <c r="K4713" s="5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</row>
    <row r="4714" spans="5:30" ht="15">
      <c r="E4714" s="9"/>
      <c r="F4714" s="5"/>
      <c r="G4714" s="5"/>
      <c r="H4714" s="5"/>
      <c r="I4714" s="5"/>
      <c r="J4714" s="5"/>
      <c r="K4714" s="5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</row>
    <row r="4715" spans="5:30" ht="15">
      <c r="E4715" s="9"/>
      <c r="F4715" s="5"/>
      <c r="G4715" s="5"/>
      <c r="H4715" s="5"/>
      <c r="I4715" s="5"/>
      <c r="J4715" s="5"/>
      <c r="K4715" s="5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</row>
    <row r="4716" spans="5:30" ht="15">
      <c r="E4716" s="9"/>
      <c r="F4716" s="5"/>
      <c r="G4716" s="5"/>
      <c r="H4716" s="5"/>
      <c r="I4716" s="5"/>
      <c r="J4716" s="5"/>
      <c r="K4716" s="5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</row>
    <row r="4717" spans="5:30" ht="15">
      <c r="E4717" s="9"/>
      <c r="F4717" s="5"/>
      <c r="G4717" s="5"/>
      <c r="H4717" s="5"/>
      <c r="I4717" s="5"/>
      <c r="J4717" s="5"/>
      <c r="K4717" s="5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</row>
    <row r="4718" spans="5:30" ht="15">
      <c r="E4718" s="9"/>
      <c r="F4718" s="5"/>
      <c r="G4718" s="5"/>
      <c r="H4718" s="5"/>
      <c r="I4718" s="5"/>
      <c r="J4718" s="5"/>
      <c r="K4718" s="5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</row>
    <row r="4719" spans="5:30" ht="15">
      <c r="E4719" s="9"/>
      <c r="F4719" s="5"/>
      <c r="G4719" s="5"/>
      <c r="H4719" s="5"/>
      <c r="I4719" s="5"/>
      <c r="J4719" s="5"/>
      <c r="K4719" s="5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</row>
    <row r="4720" spans="5:30" ht="15">
      <c r="E4720" s="9"/>
      <c r="F4720" s="5"/>
      <c r="G4720" s="5"/>
      <c r="H4720" s="5"/>
      <c r="I4720" s="5"/>
      <c r="J4720" s="5"/>
      <c r="K4720" s="5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</row>
    <row r="4721" spans="5:30" ht="15">
      <c r="E4721" s="9"/>
      <c r="F4721" s="5"/>
      <c r="G4721" s="5"/>
      <c r="H4721" s="5"/>
      <c r="I4721" s="5"/>
      <c r="J4721" s="5"/>
      <c r="K4721" s="5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</row>
    <row r="4722" spans="5:30" ht="15">
      <c r="E4722" s="9"/>
      <c r="F4722" s="5"/>
      <c r="G4722" s="5"/>
      <c r="H4722" s="5"/>
      <c r="I4722" s="5"/>
      <c r="J4722" s="5"/>
      <c r="K4722" s="5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</row>
    <row r="4723" spans="5:30" ht="15">
      <c r="E4723" s="9"/>
      <c r="F4723" s="5"/>
      <c r="G4723" s="5"/>
      <c r="H4723" s="5"/>
      <c r="I4723" s="5"/>
      <c r="J4723" s="5"/>
      <c r="K4723" s="5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</row>
    <row r="4724" spans="5:30" ht="15">
      <c r="E4724" s="9"/>
      <c r="F4724" s="5"/>
      <c r="G4724" s="5"/>
      <c r="H4724" s="5"/>
      <c r="I4724" s="5"/>
      <c r="J4724" s="5"/>
      <c r="K4724" s="5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</row>
    <row r="4725" spans="5:30" ht="15">
      <c r="E4725" s="9"/>
      <c r="F4725" s="5"/>
      <c r="G4725" s="5"/>
      <c r="H4725" s="5"/>
      <c r="I4725" s="5"/>
      <c r="J4725" s="5"/>
      <c r="K4725" s="5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</row>
    <row r="4726" spans="5:30" ht="15">
      <c r="E4726" s="9"/>
      <c r="F4726" s="5"/>
      <c r="G4726" s="5"/>
      <c r="H4726" s="5"/>
      <c r="I4726" s="5"/>
      <c r="J4726" s="5"/>
      <c r="K4726" s="5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</row>
    <row r="4727" spans="5:30" ht="15">
      <c r="E4727" s="9"/>
      <c r="F4727" s="5"/>
      <c r="G4727" s="5"/>
      <c r="H4727" s="5"/>
      <c r="I4727" s="5"/>
      <c r="J4727" s="5"/>
      <c r="K4727" s="5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</row>
    <row r="4728" spans="5:30" ht="15">
      <c r="E4728" s="9"/>
      <c r="F4728" s="5"/>
      <c r="G4728" s="5"/>
      <c r="H4728" s="5"/>
      <c r="I4728" s="5"/>
      <c r="J4728" s="5"/>
      <c r="K4728" s="5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</row>
    <row r="4729" spans="5:30" ht="15">
      <c r="E4729" s="9"/>
      <c r="F4729" s="5"/>
      <c r="G4729" s="5"/>
      <c r="H4729" s="5"/>
      <c r="I4729" s="5"/>
      <c r="J4729" s="5"/>
      <c r="K4729" s="5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</row>
    <row r="4730" spans="5:30" ht="15">
      <c r="E4730" s="9"/>
      <c r="F4730" s="5"/>
      <c r="G4730" s="5"/>
      <c r="H4730" s="5"/>
      <c r="I4730" s="5"/>
      <c r="J4730" s="5"/>
      <c r="K4730" s="5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</row>
    <row r="4731" spans="5:30" ht="15">
      <c r="E4731" s="9"/>
      <c r="F4731" s="5"/>
      <c r="G4731" s="5"/>
      <c r="H4731" s="5"/>
      <c r="I4731" s="5"/>
      <c r="J4731" s="5"/>
      <c r="K4731" s="5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</row>
    <row r="4732" spans="5:30" ht="15">
      <c r="E4732" s="9"/>
      <c r="F4732" s="5"/>
      <c r="G4732" s="5"/>
      <c r="H4732" s="5"/>
      <c r="I4732" s="5"/>
      <c r="J4732" s="5"/>
      <c r="K4732" s="5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</row>
    <row r="4733" spans="5:30" ht="15">
      <c r="E4733" s="9"/>
      <c r="F4733" s="5"/>
      <c r="G4733" s="5"/>
      <c r="H4733" s="5"/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</row>
    <row r="4734" spans="5:30" ht="15">
      <c r="E4734" s="9"/>
      <c r="F4734" s="5"/>
      <c r="G4734" s="5"/>
      <c r="H4734" s="5"/>
      <c r="I4734" s="5"/>
      <c r="J4734" s="5"/>
      <c r="K4734" s="5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</row>
    <row r="4735" spans="5:30" ht="15">
      <c r="E4735" s="9"/>
      <c r="F4735" s="5"/>
      <c r="G4735" s="5"/>
      <c r="H4735" s="5"/>
      <c r="I4735" s="5"/>
      <c r="J4735" s="5"/>
      <c r="K4735" s="5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</row>
    <row r="4736" spans="5:30" ht="15">
      <c r="E4736" s="9"/>
      <c r="F4736" s="5"/>
      <c r="G4736" s="5"/>
      <c r="H4736" s="5"/>
      <c r="I4736" s="5"/>
      <c r="J4736" s="5"/>
      <c r="K4736" s="5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</row>
    <row r="4737" spans="5:30" ht="15">
      <c r="E4737" s="9"/>
      <c r="F4737" s="5"/>
      <c r="G4737" s="5"/>
      <c r="H4737" s="5"/>
      <c r="I4737" s="5"/>
      <c r="J4737" s="5"/>
      <c r="K4737" s="5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</row>
    <row r="4738" spans="5:30" ht="15">
      <c r="E4738" s="9"/>
      <c r="F4738" s="5"/>
      <c r="G4738" s="5"/>
      <c r="H4738" s="5"/>
      <c r="I4738" s="5"/>
      <c r="J4738" s="5"/>
      <c r="K4738" s="5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</row>
    <row r="4739" spans="5:30" ht="15">
      <c r="E4739" s="9"/>
      <c r="F4739" s="5"/>
      <c r="G4739" s="5"/>
      <c r="H4739" s="5"/>
      <c r="I4739" s="5"/>
      <c r="J4739" s="5"/>
      <c r="K4739" s="5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</row>
    <row r="4740" spans="5:30" ht="15">
      <c r="E4740" s="9"/>
      <c r="F4740" s="5"/>
      <c r="G4740" s="5"/>
      <c r="H4740" s="5"/>
      <c r="I4740" s="5"/>
      <c r="J4740" s="5"/>
      <c r="K4740" s="5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</row>
    <row r="4741" spans="5:30" ht="15">
      <c r="E4741" s="9"/>
      <c r="F4741" s="5"/>
      <c r="G4741" s="5"/>
      <c r="H4741" s="5"/>
      <c r="I4741" s="5"/>
      <c r="J4741" s="5"/>
      <c r="K4741" s="5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</row>
    <row r="4742" spans="5:30" ht="15">
      <c r="E4742" s="9"/>
      <c r="F4742" s="5"/>
      <c r="G4742" s="5"/>
      <c r="H4742" s="5"/>
      <c r="I4742" s="5"/>
      <c r="J4742" s="5"/>
      <c r="K4742" s="5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</row>
    <row r="4743" spans="5:30" ht="15">
      <c r="E4743" s="9"/>
      <c r="F4743" s="5"/>
      <c r="G4743" s="5"/>
      <c r="H4743" s="5"/>
      <c r="I4743" s="5"/>
      <c r="J4743" s="5"/>
      <c r="K4743" s="5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</row>
    <row r="4744" spans="5:30" ht="15">
      <c r="E4744" s="9"/>
      <c r="F4744" s="5"/>
      <c r="G4744" s="5"/>
      <c r="H4744" s="5"/>
      <c r="I4744" s="5"/>
      <c r="J4744" s="5"/>
      <c r="K4744" s="5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</row>
    <row r="4745" spans="5:30" ht="15">
      <c r="E4745" s="9"/>
      <c r="F4745" s="5"/>
      <c r="G4745" s="5"/>
      <c r="H4745" s="5"/>
      <c r="I4745" s="5"/>
      <c r="J4745" s="5"/>
      <c r="K4745" s="5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</row>
    <row r="4746" spans="5:30" ht="15">
      <c r="E4746" s="9"/>
      <c r="F4746" s="5"/>
      <c r="G4746" s="5"/>
      <c r="H4746" s="5"/>
      <c r="I4746" s="5"/>
      <c r="J4746" s="5"/>
      <c r="K4746" s="5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</row>
    <row r="4747" spans="5:30" ht="15">
      <c r="E4747" s="9"/>
      <c r="F4747" s="5"/>
      <c r="G4747" s="5"/>
      <c r="H4747" s="5"/>
      <c r="I4747" s="5"/>
      <c r="J4747" s="5"/>
      <c r="K4747" s="5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</row>
    <row r="4748" spans="5:30" ht="15">
      <c r="E4748" s="9"/>
      <c r="F4748" s="5"/>
      <c r="G4748" s="5"/>
      <c r="H4748" s="5"/>
      <c r="I4748" s="5"/>
      <c r="J4748" s="5"/>
      <c r="K4748" s="5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</row>
    <row r="4749" spans="5:30" ht="15">
      <c r="E4749" s="9"/>
      <c r="F4749" s="5"/>
      <c r="G4749" s="5"/>
      <c r="H4749" s="5"/>
      <c r="I4749" s="5"/>
      <c r="J4749" s="5"/>
      <c r="K4749" s="5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</row>
    <row r="4750" spans="5:30" ht="15">
      <c r="E4750" s="9"/>
      <c r="F4750" s="5"/>
      <c r="G4750" s="5"/>
      <c r="H4750" s="5"/>
      <c r="I4750" s="5"/>
      <c r="J4750" s="5"/>
      <c r="K4750" s="5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</row>
    <row r="4751" spans="5:30" ht="15">
      <c r="E4751" s="9"/>
      <c r="F4751" s="5"/>
      <c r="G4751" s="5"/>
      <c r="H4751" s="5"/>
      <c r="I4751" s="5"/>
      <c r="J4751" s="5"/>
      <c r="K4751" s="5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</row>
    <row r="4752" spans="5:30" ht="15">
      <c r="E4752" s="9"/>
      <c r="F4752" s="5"/>
      <c r="G4752" s="5"/>
      <c r="H4752" s="5"/>
      <c r="I4752" s="5"/>
      <c r="J4752" s="5"/>
      <c r="K4752" s="5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</row>
    <row r="4753" spans="5:30" ht="15">
      <c r="E4753" s="9"/>
      <c r="F4753" s="5"/>
      <c r="G4753" s="5"/>
      <c r="H4753" s="5"/>
      <c r="I4753" s="5"/>
      <c r="J4753" s="5"/>
      <c r="K4753" s="5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</row>
    <row r="4754" spans="5:30" ht="15">
      <c r="E4754" s="9"/>
      <c r="F4754" s="5"/>
      <c r="G4754" s="5"/>
      <c r="H4754" s="5"/>
      <c r="I4754" s="5"/>
      <c r="J4754" s="5"/>
      <c r="K4754" s="5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</row>
    <row r="4755" spans="5:30" ht="15">
      <c r="E4755" s="9"/>
      <c r="F4755" s="5"/>
      <c r="G4755" s="5"/>
      <c r="H4755" s="5"/>
      <c r="I4755" s="5"/>
      <c r="J4755" s="5"/>
      <c r="K4755" s="5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</row>
    <row r="4756" spans="5:30" ht="15">
      <c r="E4756" s="9"/>
      <c r="F4756" s="5"/>
      <c r="G4756" s="5"/>
      <c r="H4756" s="5"/>
      <c r="I4756" s="5"/>
      <c r="J4756" s="5"/>
      <c r="K4756" s="5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</row>
    <row r="4757" spans="5:30" ht="15">
      <c r="E4757" s="9"/>
      <c r="F4757" s="5"/>
      <c r="G4757" s="5"/>
      <c r="H4757" s="5"/>
      <c r="I4757" s="5"/>
      <c r="J4757" s="5"/>
      <c r="K4757" s="5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</row>
    <row r="4758" spans="5:30" ht="15">
      <c r="E4758" s="9"/>
      <c r="F4758" s="5"/>
      <c r="G4758" s="5"/>
      <c r="H4758" s="5"/>
      <c r="I4758" s="5"/>
      <c r="J4758" s="5"/>
      <c r="K4758" s="5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</row>
    <row r="4759" spans="5:30" ht="15">
      <c r="E4759" s="9"/>
      <c r="F4759" s="5"/>
      <c r="G4759" s="5"/>
      <c r="H4759" s="5"/>
      <c r="I4759" s="5"/>
      <c r="J4759" s="5"/>
      <c r="K4759" s="5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</row>
    <row r="4760" spans="5:30" ht="15">
      <c r="E4760" s="9"/>
      <c r="F4760" s="5"/>
      <c r="G4760" s="5"/>
      <c r="H4760" s="5"/>
      <c r="I4760" s="5"/>
      <c r="J4760" s="5"/>
      <c r="K4760" s="5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</row>
    <row r="4761" spans="5:30" ht="15">
      <c r="E4761" s="9"/>
      <c r="F4761" s="5"/>
      <c r="G4761" s="5"/>
      <c r="H4761" s="5"/>
      <c r="I4761" s="5"/>
      <c r="J4761" s="5"/>
      <c r="K4761" s="5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</row>
    <row r="4762" spans="5:30" ht="15">
      <c r="E4762" s="9"/>
      <c r="F4762" s="5"/>
      <c r="G4762" s="5"/>
      <c r="H4762" s="5"/>
      <c r="I4762" s="5"/>
      <c r="J4762" s="5"/>
      <c r="K4762" s="5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</row>
    <row r="4763" spans="5:30" ht="15">
      <c r="E4763" s="9"/>
      <c r="F4763" s="5"/>
      <c r="G4763" s="5"/>
      <c r="H4763" s="5"/>
      <c r="I4763" s="5"/>
      <c r="J4763" s="5"/>
      <c r="K4763" s="5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</row>
    <row r="4764" spans="5:30" ht="15">
      <c r="E4764" s="9"/>
      <c r="F4764" s="5"/>
      <c r="G4764" s="5"/>
      <c r="H4764" s="5"/>
      <c r="I4764" s="5"/>
      <c r="J4764" s="5"/>
      <c r="K4764" s="5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</row>
    <row r="4765" spans="5:30" ht="15">
      <c r="E4765" s="9"/>
      <c r="F4765" s="5"/>
      <c r="G4765" s="5"/>
      <c r="H4765" s="5"/>
      <c r="I4765" s="5"/>
      <c r="J4765" s="5"/>
      <c r="K4765" s="5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</row>
    <row r="4766" spans="5:30" ht="15">
      <c r="E4766" s="9"/>
      <c r="F4766" s="5"/>
      <c r="G4766" s="5"/>
      <c r="H4766" s="5"/>
      <c r="I4766" s="5"/>
      <c r="J4766" s="5"/>
      <c r="K4766" s="5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</row>
    <row r="4767" spans="5:30" ht="15">
      <c r="E4767" s="9"/>
      <c r="F4767" s="5"/>
      <c r="G4767" s="5"/>
      <c r="H4767" s="5"/>
      <c r="I4767" s="5"/>
      <c r="J4767" s="5"/>
      <c r="K4767" s="5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</row>
    <row r="4768" spans="5:30" ht="15">
      <c r="E4768" s="9"/>
      <c r="F4768" s="5"/>
      <c r="G4768" s="5"/>
      <c r="H4768" s="5"/>
      <c r="I4768" s="5"/>
      <c r="J4768" s="5"/>
      <c r="K4768" s="5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</row>
    <row r="4769" spans="5:30" ht="15">
      <c r="E4769" s="9"/>
      <c r="F4769" s="5"/>
      <c r="G4769" s="5"/>
      <c r="H4769" s="5"/>
      <c r="I4769" s="5"/>
      <c r="J4769" s="5"/>
      <c r="K4769" s="5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</row>
    <row r="4770" spans="5:30" ht="15">
      <c r="E4770" s="9"/>
      <c r="F4770" s="5"/>
      <c r="G4770" s="5"/>
      <c r="H4770" s="5"/>
      <c r="I4770" s="5"/>
      <c r="J4770" s="5"/>
      <c r="K4770" s="5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</row>
    <row r="4771" spans="5:30" ht="15">
      <c r="E4771" s="9"/>
      <c r="F4771" s="5"/>
      <c r="G4771" s="5"/>
      <c r="H4771" s="5"/>
      <c r="I4771" s="5"/>
      <c r="J4771" s="5"/>
      <c r="K4771" s="5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</row>
    <row r="4772" spans="5:30" ht="15">
      <c r="E4772" s="9"/>
      <c r="F4772" s="5"/>
      <c r="G4772" s="5"/>
      <c r="H4772" s="5"/>
      <c r="I4772" s="5"/>
      <c r="J4772" s="5"/>
      <c r="K4772" s="5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</row>
    <row r="4773" spans="5:30" ht="15">
      <c r="E4773" s="9"/>
      <c r="F4773" s="5"/>
      <c r="G4773" s="5"/>
      <c r="H4773" s="5"/>
      <c r="I4773" s="5"/>
      <c r="J4773" s="5"/>
      <c r="K4773" s="5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</row>
    <row r="4774" spans="5:30" ht="15">
      <c r="E4774" s="9"/>
      <c r="F4774" s="5"/>
      <c r="G4774" s="5"/>
      <c r="H4774" s="5"/>
      <c r="I4774" s="5"/>
      <c r="J4774" s="5"/>
      <c r="K4774" s="5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</row>
    <row r="4775" spans="5:30" ht="15">
      <c r="E4775" s="9"/>
      <c r="F4775" s="5"/>
      <c r="G4775" s="5"/>
      <c r="H4775" s="5"/>
      <c r="I4775" s="5"/>
      <c r="J4775" s="5"/>
      <c r="K4775" s="5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</row>
    <row r="4776" spans="5:30" ht="15">
      <c r="E4776" s="9"/>
      <c r="F4776" s="5"/>
      <c r="G4776" s="5"/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</row>
    <row r="4777" spans="5:30" ht="15">
      <c r="E4777" s="9"/>
      <c r="F4777" s="5"/>
      <c r="G4777" s="5"/>
      <c r="H4777" s="5"/>
      <c r="I4777" s="5"/>
      <c r="J4777" s="5"/>
      <c r="K4777" s="5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</row>
    <row r="4778" spans="5:30" ht="15">
      <c r="E4778" s="9"/>
      <c r="F4778" s="5"/>
      <c r="G4778" s="5"/>
      <c r="H4778" s="5"/>
      <c r="I4778" s="5"/>
      <c r="J4778" s="5"/>
      <c r="K4778" s="5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</row>
    <row r="4779" spans="5:30" ht="15">
      <c r="E4779" s="9"/>
      <c r="F4779" s="5"/>
      <c r="G4779" s="5"/>
      <c r="H4779" s="5"/>
      <c r="I4779" s="5"/>
      <c r="J4779" s="5"/>
      <c r="K4779" s="5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</row>
    <row r="4780" spans="5:30" ht="15">
      <c r="E4780" s="9"/>
      <c r="F4780" s="5"/>
      <c r="G4780" s="5"/>
      <c r="H4780" s="5"/>
      <c r="I4780" s="5"/>
      <c r="J4780" s="5"/>
      <c r="K4780" s="5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</row>
    <row r="4781" spans="5:30" ht="15">
      <c r="E4781" s="9"/>
      <c r="F4781" s="5"/>
      <c r="G4781" s="5"/>
      <c r="H4781" s="5"/>
      <c r="I4781" s="5"/>
      <c r="J4781" s="5"/>
      <c r="K4781" s="5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</row>
    <row r="4782" spans="5:30" ht="15">
      <c r="E4782" s="9"/>
      <c r="F4782" s="5"/>
      <c r="G4782" s="5"/>
      <c r="H4782" s="5"/>
      <c r="I4782" s="5"/>
      <c r="J4782" s="5"/>
      <c r="K4782" s="5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</row>
    <row r="4783" spans="5:30" ht="15">
      <c r="E4783" s="9"/>
      <c r="F4783" s="5"/>
      <c r="G4783" s="5"/>
      <c r="H4783" s="5"/>
      <c r="I4783" s="5"/>
      <c r="J4783" s="5"/>
      <c r="K4783" s="5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</row>
    <row r="4784" spans="5:30" ht="15">
      <c r="E4784" s="9"/>
      <c r="F4784" s="5"/>
      <c r="G4784" s="5"/>
      <c r="H4784" s="5"/>
      <c r="I4784" s="5"/>
      <c r="J4784" s="5"/>
      <c r="K4784" s="5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</row>
    <row r="4785" spans="5:30" ht="15">
      <c r="E4785" s="9"/>
      <c r="F4785" s="5"/>
      <c r="G4785" s="5"/>
      <c r="H4785" s="5"/>
      <c r="I4785" s="5"/>
      <c r="J4785" s="5"/>
      <c r="K4785" s="5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</row>
    <row r="4786" spans="5:30" ht="15">
      <c r="E4786" s="9"/>
      <c r="F4786" s="5"/>
      <c r="G4786" s="5"/>
      <c r="H4786" s="5"/>
      <c r="I4786" s="5"/>
      <c r="J4786" s="5"/>
      <c r="K4786" s="5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</row>
    <row r="4787" spans="5:30" ht="15">
      <c r="E4787" s="9"/>
      <c r="F4787" s="5"/>
      <c r="G4787" s="5"/>
      <c r="H4787" s="5"/>
      <c r="I4787" s="5"/>
      <c r="J4787" s="5"/>
      <c r="K4787" s="5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</row>
    <row r="4788" spans="5:30" ht="15">
      <c r="E4788" s="9"/>
      <c r="F4788" s="5"/>
      <c r="G4788" s="5"/>
      <c r="H4788" s="5"/>
      <c r="I4788" s="5"/>
      <c r="J4788" s="5"/>
      <c r="K4788" s="5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</row>
    <row r="4789" spans="5:30" ht="15">
      <c r="E4789" s="9"/>
      <c r="F4789" s="5"/>
      <c r="G4789" s="5"/>
      <c r="H4789" s="5"/>
      <c r="I4789" s="5"/>
      <c r="J4789" s="5"/>
      <c r="K4789" s="5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</row>
    <row r="4790" spans="5:30" ht="15">
      <c r="E4790" s="9"/>
      <c r="F4790" s="5"/>
      <c r="G4790" s="5"/>
      <c r="H4790" s="5"/>
      <c r="I4790" s="5"/>
      <c r="J4790" s="5"/>
      <c r="K4790" s="5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</row>
    <row r="4791" spans="5:30" ht="15">
      <c r="E4791" s="9"/>
      <c r="F4791" s="5"/>
      <c r="G4791" s="5"/>
      <c r="H4791" s="5"/>
      <c r="I4791" s="5"/>
      <c r="J4791" s="5"/>
      <c r="K4791" s="5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</row>
    <row r="4792" spans="5:30" ht="15">
      <c r="E4792" s="9"/>
      <c r="F4792" s="5"/>
      <c r="G4792" s="5"/>
      <c r="H4792" s="5"/>
      <c r="I4792" s="5"/>
      <c r="J4792" s="5"/>
      <c r="K4792" s="5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</row>
    <row r="4793" spans="5:30" ht="15">
      <c r="E4793" s="9"/>
      <c r="F4793" s="5"/>
      <c r="G4793" s="5"/>
      <c r="H4793" s="5"/>
      <c r="I4793" s="5"/>
      <c r="J4793" s="5"/>
      <c r="K4793" s="5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</row>
    <row r="4794" spans="5:30" ht="15">
      <c r="E4794" s="9"/>
      <c r="F4794" s="5"/>
      <c r="G4794" s="5"/>
      <c r="H4794" s="5"/>
      <c r="I4794" s="5"/>
      <c r="J4794" s="5"/>
      <c r="K4794" s="5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</row>
    <row r="4795" spans="5:30" ht="15">
      <c r="E4795" s="9"/>
      <c r="F4795" s="5"/>
      <c r="G4795" s="5"/>
      <c r="H4795" s="5"/>
      <c r="I4795" s="5"/>
      <c r="J4795" s="5"/>
      <c r="K4795" s="5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</row>
    <row r="4796" spans="5:30" ht="15">
      <c r="E4796" s="9"/>
      <c r="F4796" s="5"/>
      <c r="G4796" s="5"/>
      <c r="H4796" s="5"/>
      <c r="I4796" s="5"/>
      <c r="J4796" s="5"/>
      <c r="K4796" s="5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</row>
    <row r="4797" spans="5:30" ht="15">
      <c r="E4797" s="9"/>
      <c r="F4797" s="5"/>
      <c r="G4797" s="5"/>
      <c r="H4797" s="5"/>
      <c r="I4797" s="5"/>
      <c r="J4797" s="5"/>
      <c r="K4797" s="5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</row>
    <row r="4798" spans="5:30" ht="15">
      <c r="E4798" s="9"/>
      <c r="F4798" s="5"/>
      <c r="G4798" s="5"/>
      <c r="H4798" s="5"/>
      <c r="I4798" s="5"/>
      <c r="J4798" s="5"/>
      <c r="K4798" s="5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</row>
    <row r="4799" spans="5:30" ht="15">
      <c r="E4799" s="9"/>
      <c r="F4799" s="5"/>
      <c r="G4799" s="5"/>
      <c r="H4799" s="5"/>
      <c r="I4799" s="5"/>
      <c r="J4799" s="5"/>
      <c r="K4799" s="5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</row>
    <row r="4800" spans="5:30" ht="15">
      <c r="E4800" s="9"/>
      <c r="F4800" s="5"/>
      <c r="G4800" s="5"/>
      <c r="H4800" s="5"/>
      <c r="I4800" s="5"/>
      <c r="J4800" s="5"/>
      <c r="K4800" s="5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</row>
    <row r="4801" spans="5:30" ht="15">
      <c r="E4801" s="9"/>
      <c r="F4801" s="5"/>
      <c r="G4801" s="5"/>
      <c r="H4801" s="5"/>
      <c r="I4801" s="5"/>
      <c r="J4801" s="5"/>
      <c r="K4801" s="5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</row>
    <row r="4802" spans="5:30" ht="15">
      <c r="E4802" s="9"/>
      <c r="F4802" s="5"/>
      <c r="G4802" s="5"/>
      <c r="H4802" s="5"/>
      <c r="I4802" s="5"/>
      <c r="J4802" s="5"/>
      <c r="K4802" s="5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</row>
    <row r="4803" spans="5:30" ht="15">
      <c r="E4803" s="9"/>
      <c r="F4803" s="5"/>
      <c r="G4803" s="5"/>
      <c r="H4803" s="5"/>
      <c r="I4803" s="5"/>
      <c r="J4803" s="5"/>
      <c r="K4803" s="5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</row>
    <row r="4804" spans="5:30" ht="15">
      <c r="E4804" s="9"/>
      <c r="F4804" s="5"/>
      <c r="G4804" s="5"/>
      <c r="H4804" s="5"/>
      <c r="I4804" s="5"/>
      <c r="J4804" s="5"/>
      <c r="K4804" s="5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</row>
    <row r="4805" spans="5:30" ht="15">
      <c r="E4805" s="9"/>
      <c r="F4805" s="5"/>
      <c r="G4805" s="5"/>
      <c r="H4805" s="5"/>
      <c r="I4805" s="5"/>
      <c r="J4805" s="5"/>
      <c r="K4805" s="5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</row>
    <row r="4806" spans="5:30" ht="15">
      <c r="E4806" s="9"/>
      <c r="F4806" s="5"/>
      <c r="G4806" s="5"/>
      <c r="H4806" s="5"/>
      <c r="I4806" s="5"/>
      <c r="J4806" s="5"/>
      <c r="K4806" s="5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</row>
    <row r="4807" spans="5:30" ht="15">
      <c r="E4807" s="9"/>
      <c r="F4807" s="5"/>
      <c r="G4807" s="5"/>
      <c r="H4807" s="5"/>
      <c r="I4807" s="5"/>
      <c r="J4807" s="5"/>
      <c r="K4807" s="5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</row>
    <row r="4808" spans="5:30" ht="15">
      <c r="E4808" s="9"/>
      <c r="F4808" s="5"/>
      <c r="G4808" s="5"/>
      <c r="H4808" s="5"/>
      <c r="I4808" s="5"/>
      <c r="J4808" s="5"/>
      <c r="K4808" s="5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</row>
    <row r="4809" spans="5:30" ht="15">
      <c r="E4809" s="9"/>
      <c r="F4809" s="5"/>
      <c r="G4809" s="5"/>
      <c r="H4809" s="5"/>
      <c r="I4809" s="5"/>
      <c r="J4809" s="5"/>
      <c r="K4809" s="5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</row>
    <row r="4810" spans="5:30" ht="15">
      <c r="E4810" s="9"/>
      <c r="F4810" s="5"/>
      <c r="G4810" s="5"/>
      <c r="H4810" s="5"/>
      <c r="I4810" s="5"/>
      <c r="J4810" s="5"/>
      <c r="K4810" s="5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</row>
    <row r="4811" spans="5:30" ht="15">
      <c r="E4811" s="9"/>
      <c r="F4811" s="5"/>
      <c r="G4811" s="5"/>
      <c r="H4811" s="5"/>
      <c r="I4811" s="5"/>
      <c r="J4811" s="5"/>
      <c r="K4811" s="5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</row>
    <row r="4812" spans="5:30" ht="15">
      <c r="E4812" s="9"/>
      <c r="F4812" s="5"/>
      <c r="G4812" s="5"/>
      <c r="H4812" s="5"/>
      <c r="I4812" s="5"/>
      <c r="J4812" s="5"/>
      <c r="K4812" s="5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</row>
    <row r="4813" spans="5:30" ht="15">
      <c r="E4813" s="9"/>
      <c r="F4813" s="5"/>
      <c r="G4813" s="5"/>
      <c r="H4813" s="5"/>
      <c r="I4813" s="5"/>
      <c r="J4813" s="5"/>
      <c r="K4813" s="5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</row>
    <row r="4814" spans="5:30" ht="15">
      <c r="E4814" s="9"/>
      <c r="F4814" s="5"/>
      <c r="G4814" s="5"/>
      <c r="H4814" s="5"/>
      <c r="I4814" s="5"/>
      <c r="J4814" s="5"/>
      <c r="K4814" s="5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</row>
    <row r="4815" spans="5:30" ht="15">
      <c r="E4815" s="9"/>
      <c r="F4815" s="5"/>
      <c r="G4815" s="5"/>
      <c r="H4815" s="5"/>
      <c r="I4815" s="5"/>
      <c r="J4815" s="5"/>
      <c r="K4815" s="5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</row>
    <row r="4816" spans="5:30" ht="15">
      <c r="E4816" s="9"/>
      <c r="F4816" s="5"/>
      <c r="G4816" s="5"/>
      <c r="H4816" s="5"/>
      <c r="I4816" s="5"/>
      <c r="J4816" s="5"/>
      <c r="K4816" s="5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</row>
    <row r="4817" spans="5:30" ht="15">
      <c r="E4817" s="9"/>
      <c r="F4817" s="5"/>
      <c r="G4817" s="5"/>
      <c r="H4817" s="5"/>
      <c r="I4817" s="5"/>
      <c r="J4817" s="5"/>
      <c r="K4817" s="5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</row>
    <row r="4818" spans="5:30" ht="15">
      <c r="E4818" s="9"/>
      <c r="F4818" s="5"/>
      <c r="G4818" s="5"/>
      <c r="H4818" s="5"/>
      <c r="I4818" s="5"/>
      <c r="J4818" s="5"/>
      <c r="K4818" s="5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</row>
    <row r="4819" spans="5:30" ht="15">
      <c r="E4819" s="9"/>
      <c r="F4819" s="5"/>
      <c r="G4819" s="5"/>
      <c r="H4819" s="5"/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</row>
    <row r="4820" spans="5:30" ht="15">
      <c r="E4820" s="9"/>
      <c r="F4820" s="5"/>
      <c r="G4820" s="5"/>
      <c r="H4820" s="5"/>
      <c r="I4820" s="5"/>
      <c r="J4820" s="5"/>
      <c r="K4820" s="5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</row>
    <row r="4821" spans="5:30" ht="15">
      <c r="E4821" s="9"/>
      <c r="F4821" s="5"/>
      <c r="G4821" s="5"/>
      <c r="H4821" s="5"/>
      <c r="I4821" s="5"/>
      <c r="J4821" s="5"/>
      <c r="K4821" s="5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</row>
    <row r="4822" spans="5:30" ht="15">
      <c r="E4822" s="9"/>
      <c r="F4822" s="5"/>
      <c r="G4822" s="5"/>
      <c r="H4822" s="5"/>
      <c r="I4822" s="5"/>
      <c r="J4822" s="5"/>
      <c r="K4822" s="5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</row>
    <row r="4823" spans="5:30" ht="15">
      <c r="E4823" s="9"/>
      <c r="F4823" s="5"/>
      <c r="G4823" s="5"/>
      <c r="H4823" s="5"/>
      <c r="I4823" s="5"/>
      <c r="J4823" s="5"/>
      <c r="K4823" s="5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</row>
    <row r="4824" spans="5:30" ht="15">
      <c r="E4824" s="9"/>
      <c r="F4824" s="5"/>
      <c r="G4824" s="5"/>
      <c r="H4824" s="5"/>
      <c r="I4824" s="5"/>
      <c r="J4824" s="5"/>
      <c r="K4824" s="5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</row>
    <row r="4825" spans="5:30" ht="15">
      <c r="E4825" s="9"/>
      <c r="F4825" s="5"/>
      <c r="G4825" s="5"/>
      <c r="H4825" s="5"/>
      <c r="I4825" s="5"/>
      <c r="J4825" s="5"/>
      <c r="K4825" s="5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</row>
    <row r="4826" spans="5:30" ht="15">
      <c r="E4826" s="9"/>
      <c r="F4826" s="5"/>
      <c r="G4826" s="5"/>
      <c r="H4826" s="5"/>
      <c r="I4826" s="5"/>
      <c r="J4826" s="5"/>
      <c r="K4826" s="5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</row>
    <row r="4827" spans="5:30" ht="15">
      <c r="E4827" s="9"/>
      <c r="F4827" s="5"/>
      <c r="G4827" s="5"/>
      <c r="H4827" s="5"/>
      <c r="I4827" s="5"/>
      <c r="J4827" s="5"/>
      <c r="K4827" s="5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</row>
    <row r="4828" spans="5:30" ht="15">
      <c r="E4828" s="9"/>
      <c r="F4828" s="5"/>
      <c r="G4828" s="5"/>
      <c r="H4828" s="5"/>
      <c r="I4828" s="5"/>
      <c r="J4828" s="5"/>
      <c r="K4828" s="5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</row>
    <row r="4829" spans="5:30" ht="15">
      <c r="E4829" s="9"/>
      <c r="F4829" s="5"/>
      <c r="G4829" s="5"/>
      <c r="H4829" s="5"/>
      <c r="I4829" s="5"/>
      <c r="J4829" s="5"/>
      <c r="K4829" s="5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</row>
    <row r="4830" spans="5:30" ht="15">
      <c r="E4830" s="9"/>
      <c r="F4830" s="5"/>
      <c r="G4830" s="5"/>
      <c r="H4830" s="5"/>
      <c r="I4830" s="5"/>
      <c r="J4830" s="5"/>
      <c r="K4830" s="5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</row>
    <row r="4831" spans="5:30" ht="15">
      <c r="E4831" s="9"/>
      <c r="F4831" s="5"/>
      <c r="G4831" s="5"/>
      <c r="H4831" s="5"/>
      <c r="I4831" s="5"/>
      <c r="J4831" s="5"/>
      <c r="K4831" s="5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</row>
    <row r="4832" spans="5:30" ht="15">
      <c r="E4832" s="9"/>
      <c r="F4832" s="5"/>
      <c r="G4832" s="5"/>
      <c r="H4832" s="5"/>
      <c r="I4832" s="5"/>
      <c r="J4832" s="5"/>
      <c r="K4832" s="5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</row>
    <row r="4833" spans="5:30" ht="15">
      <c r="E4833" s="9"/>
      <c r="F4833" s="5"/>
      <c r="G4833" s="5"/>
      <c r="H4833" s="5"/>
      <c r="I4833" s="5"/>
      <c r="J4833" s="5"/>
      <c r="K4833" s="5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</row>
    <row r="4834" spans="5:30" ht="15">
      <c r="E4834" s="9"/>
      <c r="F4834" s="5"/>
      <c r="G4834" s="5"/>
      <c r="H4834" s="5"/>
      <c r="I4834" s="5"/>
      <c r="J4834" s="5"/>
      <c r="K4834" s="5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</row>
    <row r="4835" spans="5:30" ht="15">
      <c r="E4835" s="9"/>
      <c r="F4835" s="5"/>
      <c r="G4835" s="5"/>
      <c r="H4835" s="5"/>
      <c r="I4835" s="5"/>
      <c r="J4835" s="5"/>
      <c r="K4835" s="5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</row>
    <row r="4836" spans="5:30" ht="15">
      <c r="E4836" s="9"/>
      <c r="F4836" s="5"/>
      <c r="G4836" s="5"/>
      <c r="H4836" s="5"/>
      <c r="I4836" s="5"/>
      <c r="J4836" s="5"/>
      <c r="K4836" s="5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</row>
    <row r="4837" spans="5:30" ht="15">
      <c r="E4837" s="9"/>
      <c r="F4837" s="5"/>
      <c r="G4837" s="5"/>
      <c r="H4837" s="5"/>
      <c r="I4837" s="5"/>
      <c r="J4837" s="5"/>
      <c r="K4837" s="5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</row>
    <row r="4838" spans="5:30" ht="15">
      <c r="E4838" s="9"/>
      <c r="F4838" s="5"/>
      <c r="G4838" s="5"/>
      <c r="H4838" s="5"/>
      <c r="I4838" s="5"/>
      <c r="J4838" s="5"/>
      <c r="K4838" s="5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</row>
    <row r="4839" spans="5:30" ht="15">
      <c r="E4839" s="9"/>
      <c r="F4839" s="5"/>
      <c r="G4839" s="5"/>
      <c r="H4839" s="5"/>
      <c r="I4839" s="5"/>
      <c r="J4839" s="5"/>
      <c r="K4839" s="5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</row>
    <row r="4840" spans="5:30" ht="15">
      <c r="E4840" s="9"/>
      <c r="F4840" s="5"/>
      <c r="G4840" s="5"/>
      <c r="H4840" s="5"/>
      <c r="I4840" s="5"/>
      <c r="J4840" s="5"/>
      <c r="K4840" s="5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</row>
    <row r="4841" spans="5:30" ht="15">
      <c r="E4841" s="9"/>
      <c r="F4841" s="5"/>
      <c r="G4841" s="5"/>
      <c r="H4841" s="5"/>
      <c r="I4841" s="5"/>
      <c r="J4841" s="5"/>
      <c r="K4841" s="5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</row>
    <row r="4842" spans="5:30" ht="15">
      <c r="E4842" s="9"/>
      <c r="F4842" s="5"/>
      <c r="G4842" s="5"/>
      <c r="H4842" s="5"/>
      <c r="I4842" s="5"/>
      <c r="J4842" s="5"/>
      <c r="K4842" s="5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</row>
    <row r="4843" spans="5:30" ht="15">
      <c r="E4843" s="9"/>
      <c r="F4843" s="5"/>
      <c r="G4843" s="5"/>
      <c r="H4843" s="5"/>
      <c r="I4843" s="5"/>
      <c r="J4843" s="5"/>
      <c r="K4843" s="5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</row>
    <row r="4844" spans="5:30" ht="15">
      <c r="E4844" s="9"/>
      <c r="F4844" s="5"/>
      <c r="G4844" s="5"/>
      <c r="H4844" s="5"/>
      <c r="I4844" s="5"/>
      <c r="J4844" s="5"/>
      <c r="K4844" s="5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</row>
    <row r="4845" spans="5:30" ht="15">
      <c r="E4845" s="9"/>
      <c r="F4845" s="5"/>
      <c r="G4845" s="5"/>
      <c r="H4845" s="5"/>
      <c r="I4845" s="5"/>
      <c r="J4845" s="5"/>
      <c r="K4845" s="5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</row>
    <row r="4846" spans="5:30" ht="15">
      <c r="E4846" s="9"/>
      <c r="F4846" s="5"/>
      <c r="G4846" s="5"/>
      <c r="H4846" s="5"/>
      <c r="I4846" s="5"/>
      <c r="J4846" s="5"/>
      <c r="K4846" s="5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</row>
    <row r="4847" spans="5:30" ht="15">
      <c r="E4847" s="9"/>
      <c r="F4847" s="5"/>
      <c r="G4847" s="5"/>
      <c r="H4847" s="5"/>
      <c r="I4847" s="5"/>
      <c r="J4847" s="5"/>
      <c r="K4847" s="5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</row>
    <row r="4848" spans="5:30" ht="15">
      <c r="E4848" s="9"/>
      <c r="F4848" s="5"/>
      <c r="G4848" s="5"/>
      <c r="H4848" s="5"/>
      <c r="I4848" s="5"/>
      <c r="J4848" s="5"/>
      <c r="K4848" s="5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</row>
    <row r="4849" spans="5:30" ht="15">
      <c r="E4849" s="9"/>
      <c r="F4849" s="5"/>
      <c r="G4849" s="5"/>
      <c r="H4849" s="5"/>
      <c r="I4849" s="5"/>
      <c r="J4849" s="5"/>
      <c r="K4849" s="5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</row>
    <row r="4850" spans="5:30" ht="15">
      <c r="E4850" s="9"/>
      <c r="F4850" s="5"/>
      <c r="G4850" s="5"/>
      <c r="H4850" s="5"/>
      <c r="I4850" s="5"/>
      <c r="J4850" s="5"/>
      <c r="K4850" s="5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</row>
    <row r="4851" spans="5:30" ht="15">
      <c r="E4851" s="9"/>
      <c r="F4851" s="5"/>
      <c r="G4851" s="5"/>
      <c r="H4851" s="5"/>
      <c r="I4851" s="5"/>
      <c r="J4851" s="5"/>
      <c r="K4851" s="5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</row>
    <row r="4852" spans="5:30" ht="15">
      <c r="E4852" s="9"/>
      <c r="F4852" s="5"/>
      <c r="G4852" s="5"/>
      <c r="H4852" s="5"/>
      <c r="I4852" s="5"/>
      <c r="J4852" s="5"/>
      <c r="K4852" s="5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</row>
    <row r="4853" spans="5:30" ht="15">
      <c r="E4853" s="9"/>
      <c r="F4853" s="5"/>
      <c r="G4853" s="5"/>
      <c r="H4853" s="5"/>
      <c r="I4853" s="5"/>
      <c r="J4853" s="5"/>
      <c r="K4853" s="5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</row>
    <row r="4854" spans="5:30" ht="15">
      <c r="E4854" s="9"/>
      <c r="F4854" s="5"/>
      <c r="G4854" s="5"/>
      <c r="H4854" s="5"/>
      <c r="I4854" s="5"/>
      <c r="J4854" s="5"/>
      <c r="K4854" s="5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</row>
    <row r="4855" spans="5:30" ht="15">
      <c r="E4855" s="9"/>
      <c r="F4855" s="5"/>
      <c r="G4855" s="5"/>
      <c r="H4855" s="5"/>
      <c r="I4855" s="5"/>
      <c r="J4855" s="5"/>
      <c r="K4855" s="5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</row>
    <row r="4856" spans="5:30" ht="15">
      <c r="E4856" s="9"/>
      <c r="F4856" s="5"/>
      <c r="G4856" s="5"/>
      <c r="H4856" s="5"/>
      <c r="I4856" s="5"/>
      <c r="J4856" s="5"/>
      <c r="K4856" s="5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</row>
    <row r="4857" spans="5:30" ht="15">
      <c r="E4857" s="9"/>
      <c r="F4857" s="5"/>
      <c r="G4857" s="5"/>
      <c r="H4857" s="5"/>
      <c r="I4857" s="5"/>
      <c r="J4857" s="5"/>
      <c r="K4857" s="5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</row>
    <row r="4858" spans="5:30" ht="15">
      <c r="E4858" s="9"/>
      <c r="F4858" s="5"/>
      <c r="G4858" s="5"/>
      <c r="H4858" s="5"/>
      <c r="I4858" s="5"/>
      <c r="J4858" s="5"/>
      <c r="K4858" s="5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</row>
    <row r="4859" spans="5:30" ht="15">
      <c r="E4859" s="9"/>
      <c r="F4859" s="5"/>
      <c r="G4859" s="5"/>
      <c r="H4859" s="5"/>
      <c r="I4859" s="5"/>
      <c r="J4859" s="5"/>
      <c r="K4859" s="5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</row>
    <row r="4860" spans="5:30" ht="15">
      <c r="E4860" s="9"/>
      <c r="F4860" s="5"/>
      <c r="G4860" s="5"/>
      <c r="H4860" s="5"/>
      <c r="I4860" s="5"/>
      <c r="J4860" s="5"/>
      <c r="K4860" s="5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</row>
    <row r="4861" spans="5:30" ht="15">
      <c r="E4861" s="9"/>
      <c r="F4861" s="5"/>
      <c r="G4861" s="5"/>
      <c r="H4861" s="5"/>
      <c r="I4861" s="5"/>
      <c r="J4861" s="5"/>
      <c r="K4861" s="5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</row>
    <row r="4862" spans="5:30" ht="15">
      <c r="E4862" s="9"/>
      <c r="F4862" s="5"/>
      <c r="G4862" s="5"/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</row>
    <row r="4863" spans="5:30" ht="15">
      <c r="E4863" s="9"/>
      <c r="F4863" s="5"/>
      <c r="G4863" s="5"/>
      <c r="H4863" s="5"/>
      <c r="I4863" s="5"/>
      <c r="J4863" s="5"/>
      <c r="K4863" s="5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</row>
    <row r="4864" spans="5:30" ht="15">
      <c r="E4864" s="9"/>
      <c r="F4864" s="5"/>
      <c r="G4864" s="5"/>
      <c r="H4864" s="5"/>
      <c r="I4864" s="5"/>
      <c r="J4864" s="5"/>
      <c r="K4864" s="5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</row>
    <row r="4865" spans="5:30" ht="15">
      <c r="E4865" s="9"/>
      <c r="F4865" s="5"/>
      <c r="G4865" s="5"/>
      <c r="H4865" s="5"/>
      <c r="I4865" s="5"/>
      <c r="J4865" s="5"/>
      <c r="K4865" s="5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</row>
    <row r="4866" spans="5:30" ht="15">
      <c r="E4866" s="9"/>
      <c r="F4866" s="5"/>
      <c r="G4866" s="5"/>
      <c r="H4866" s="5"/>
      <c r="I4866" s="5"/>
      <c r="J4866" s="5"/>
      <c r="K4866" s="5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</row>
    <row r="4867" spans="5:30" ht="15">
      <c r="E4867" s="9"/>
      <c r="F4867" s="5"/>
      <c r="G4867" s="5"/>
      <c r="H4867" s="5"/>
      <c r="I4867" s="5"/>
      <c r="J4867" s="5"/>
      <c r="K4867" s="5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</row>
    <row r="4868" spans="5:30" ht="15">
      <c r="E4868" s="9"/>
      <c r="F4868" s="5"/>
      <c r="G4868" s="5"/>
      <c r="H4868" s="5"/>
      <c r="I4868" s="5"/>
      <c r="J4868" s="5"/>
      <c r="K4868" s="5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</row>
    <row r="4869" spans="5:30" ht="15">
      <c r="E4869" s="9"/>
      <c r="F4869" s="5"/>
      <c r="G4869" s="5"/>
      <c r="H4869" s="5"/>
      <c r="I4869" s="5"/>
      <c r="J4869" s="5"/>
      <c r="K4869" s="5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</row>
    <row r="4870" spans="5:30" ht="15">
      <c r="E4870" s="9"/>
      <c r="F4870" s="5"/>
      <c r="G4870" s="5"/>
      <c r="H4870" s="5"/>
      <c r="I4870" s="5"/>
      <c r="J4870" s="5"/>
      <c r="K4870" s="5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</row>
    <row r="4871" spans="5:30" ht="15">
      <c r="E4871" s="9"/>
      <c r="F4871" s="5"/>
      <c r="G4871" s="5"/>
      <c r="H4871" s="5"/>
      <c r="I4871" s="5"/>
      <c r="J4871" s="5"/>
      <c r="K4871" s="5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</row>
    <row r="4872" spans="5:30" ht="15">
      <c r="E4872" s="9"/>
      <c r="F4872" s="5"/>
      <c r="G4872" s="5"/>
      <c r="H4872" s="5"/>
      <c r="I4872" s="5"/>
      <c r="J4872" s="5"/>
      <c r="K4872" s="5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</row>
    <row r="4873" spans="5:30" ht="15">
      <c r="E4873" s="9"/>
      <c r="F4873" s="5"/>
      <c r="G4873" s="5"/>
      <c r="H4873" s="5"/>
      <c r="I4873" s="5"/>
      <c r="J4873" s="5"/>
      <c r="K4873" s="5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</row>
    <row r="4874" spans="5:30" ht="15">
      <c r="E4874" s="9"/>
      <c r="F4874" s="5"/>
      <c r="G4874" s="5"/>
      <c r="H4874" s="5"/>
      <c r="I4874" s="5"/>
      <c r="J4874" s="5"/>
      <c r="K4874" s="5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</row>
    <row r="4875" spans="5:30" ht="15">
      <c r="E4875" s="9"/>
      <c r="F4875" s="5"/>
      <c r="G4875" s="5"/>
      <c r="H4875" s="5"/>
      <c r="I4875" s="5"/>
      <c r="J4875" s="5"/>
      <c r="K4875" s="5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</row>
    <row r="4876" spans="5:30" ht="15">
      <c r="E4876" s="9"/>
      <c r="F4876" s="5"/>
      <c r="G4876" s="5"/>
      <c r="H4876" s="5"/>
      <c r="I4876" s="5"/>
      <c r="J4876" s="5"/>
      <c r="K4876" s="5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</row>
    <row r="4877" spans="5:30" ht="15">
      <c r="E4877" s="9"/>
      <c r="F4877" s="5"/>
      <c r="G4877" s="5"/>
      <c r="H4877" s="5"/>
      <c r="I4877" s="5"/>
      <c r="J4877" s="5"/>
      <c r="K4877" s="5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</row>
    <row r="4878" spans="5:30" ht="15">
      <c r="E4878" s="9"/>
      <c r="F4878" s="5"/>
      <c r="G4878" s="5"/>
      <c r="H4878" s="5"/>
      <c r="I4878" s="5"/>
      <c r="J4878" s="5"/>
      <c r="K4878" s="5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</row>
    <row r="4879" spans="5:30" ht="15">
      <c r="E4879" s="9"/>
      <c r="F4879" s="5"/>
      <c r="G4879" s="5"/>
      <c r="H4879" s="5"/>
      <c r="I4879" s="5"/>
      <c r="J4879" s="5"/>
      <c r="K4879" s="5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</row>
    <row r="4880" spans="5:30" ht="15">
      <c r="E4880" s="9"/>
      <c r="F4880" s="5"/>
      <c r="G4880" s="5"/>
      <c r="H4880" s="5"/>
      <c r="I4880" s="5"/>
      <c r="J4880" s="5"/>
      <c r="K4880" s="5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</row>
    <row r="4881" spans="5:30" ht="15">
      <c r="E4881" s="9"/>
      <c r="F4881" s="5"/>
      <c r="G4881" s="5"/>
      <c r="H4881" s="5"/>
      <c r="I4881" s="5"/>
      <c r="J4881" s="5"/>
      <c r="K4881" s="5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</row>
    <row r="4882" spans="5:30" ht="15">
      <c r="E4882" s="9"/>
      <c r="F4882" s="5"/>
      <c r="G4882" s="5"/>
      <c r="H4882" s="5"/>
      <c r="I4882" s="5"/>
      <c r="J4882" s="5"/>
      <c r="K4882" s="5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</row>
    <row r="4883" spans="5:30" ht="15">
      <c r="E4883" s="9"/>
      <c r="F4883" s="5"/>
      <c r="G4883" s="5"/>
      <c r="H4883" s="5"/>
      <c r="I4883" s="5"/>
      <c r="J4883" s="5"/>
      <c r="K4883" s="5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</row>
    <row r="4884" spans="5:30" ht="15">
      <c r="E4884" s="9"/>
      <c r="F4884" s="5"/>
      <c r="G4884" s="5"/>
      <c r="H4884" s="5"/>
      <c r="I4884" s="5"/>
      <c r="J4884" s="5"/>
      <c r="K4884" s="5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</row>
    <row r="4885" spans="5:30" ht="15">
      <c r="E4885" s="9"/>
      <c r="F4885" s="5"/>
      <c r="G4885" s="5"/>
      <c r="H4885" s="5"/>
      <c r="I4885" s="5"/>
      <c r="J4885" s="5"/>
      <c r="K4885" s="5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</row>
    <row r="4886" spans="5:30" ht="15">
      <c r="E4886" s="9"/>
      <c r="F4886" s="5"/>
      <c r="G4886" s="5"/>
      <c r="H4886" s="5"/>
      <c r="I4886" s="5"/>
      <c r="J4886" s="5"/>
      <c r="K4886" s="5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</row>
    <row r="4887" spans="5:30" ht="15">
      <c r="E4887" s="9"/>
      <c r="F4887" s="5"/>
      <c r="G4887" s="5"/>
      <c r="H4887" s="5"/>
      <c r="I4887" s="5"/>
      <c r="J4887" s="5"/>
      <c r="K4887" s="5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</row>
    <row r="4888" spans="5:30" ht="15">
      <c r="E4888" s="9"/>
      <c r="F4888" s="5"/>
      <c r="G4888" s="5"/>
      <c r="H4888" s="5"/>
      <c r="I4888" s="5"/>
      <c r="J4888" s="5"/>
      <c r="K4888" s="5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</row>
    <row r="4889" spans="5:30" ht="15">
      <c r="E4889" s="9"/>
      <c r="F4889" s="5"/>
      <c r="G4889" s="5"/>
      <c r="H4889" s="5"/>
      <c r="I4889" s="5"/>
      <c r="J4889" s="5"/>
      <c r="K4889" s="5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</row>
    <row r="4890" spans="5:30" ht="15">
      <c r="E4890" s="9"/>
      <c r="F4890" s="5"/>
      <c r="G4890" s="5"/>
      <c r="H4890" s="5"/>
      <c r="I4890" s="5"/>
      <c r="J4890" s="5"/>
      <c r="K4890" s="5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</row>
    <row r="4891" spans="5:30" ht="15">
      <c r="E4891" s="9"/>
      <c r="F4891" s="5"/>
      <c r="G4891" s="5"/>
      <c r="H4891" s="5"/>
      <c r="I4891" s="5"/>
      <c r="J4891" s="5"/>
      <c r="K4891" s="5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</row>
    <row r="4892" spans="5:30" ht="15">
      <c r="E4892" s="9"/>
      <c r="F4892" s="5"/>
      <c r="G4892" s="5"/>
      <c r="H4892" s="5"/>
      <c r="I4892" s="5"/>
      <c r="J4892" s="5"/>
      <c r="K4892" s="5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</row>
    <row r="4893" spans="5:30" ht="15">
      <c r="E4893" s="9"/>
      <c r="F4893" s="5"/>
      <c r="G4893" s="5"/>
      <c r="H4893" s="5"/>
      <c r="I4893" s="5"/>
      <c r="J4893" s="5"/>
      <c r="K4893" s="5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</row>
    <row r="4894" spans="5:30" ht="15">
      <c r="E4894" s="9"/>
      <c r="F4894" s="5"/>
      <c r="G4894" s="5"/>
      <c r="H4894" s="5"/>
      <c r="I4894" s="5"/>
      <c r="J4894" s="5"/>
      <c r="K4894" s="5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</row>
    <row r="4895" spans="5:30" ht="15">
      <c r="E4895" s="9"/>
      <c r="F4895" s="5"/>
      <c r="G4895" s="5"/>
      <c r="H4895" s="5"/>
      <c r="I4895" s="5"/>
      <c r="J4895" s="5"/>
      <c r="K4895" s="5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</row>
    <row r="4896" spans="5:30" ht="15">
      <c r="E4896" s="9"/>
      <c r="F4896" s="5"/>
      <c r="G4896" s="5"/>
      <c r="H4896" s="5"/>
      <c r="I4896" s="5"/>
      <c r="J4896" s="5"/>
      <c r="K4896" s="5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</row>
    <row r="4897" spans="5:30" ht="15">
      <c r="E4897" s="9"/>
      <c r="F4897" s="5"/>
      <c r="G4897" s="5"/>
      <c r="H4897" s="5"/>
      <c r="I4897" s="5"/>
      <c r="J4897" s="5"/>
      <c r="K4897" s="5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</row>
    <row r="4898" spans="5:30" ht="15">
      <c r="E4898" s="9"/>
      <c r="F4898" s="5"/>
      <c r="G4898" s="5"/>
      <c r="H4898" s="5"/>
      <c r="I4898" s="5"/>
      <c r="J4898" s="5"/>
      <c r="K4898" s="5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</row>
    <row r="4899" spans="5:30" ht="15">
      <c r="E4899" s="9"/>
      <c r="F4899" s="5"/>
      <c r="G4899" s="5"/>
      <c r="H4899" s="5"/>
      <c r="I4899" s="5"/>
      <c r="J4899" s="5"/>
      <c r="K4899" s="5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</row>
    <row r="4900" spans="5:30" ht="15">
      <c r="E4900" s="9"/>
      <c r="F4900" s="5"/>
      <c r="G4900" s="5"/>
      <c r="H4900" s="5"/>
      <c r="I4900" s="5"/>
      <c r="J4900" s="5"/>
      <c r="K4900" s="5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</row>
    <row r="4901" spans="5:30" ht="15">
      <c r="E4901" s="9"/>
      <c r="F4901" s="5"/>
      <c r="G4901" s="5"/>
      <c r="H4901" s="5"/>
      <c r="I4901" s="5"/>
      <c r="J4901" s="5"/>
      <c r="K4901" s="5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</row>
    <row r="4902" spans="5:30" ht="15">
      <c r="E4902" s="9"/>
      <c r="F4902" s="5"/>
      <c r="G4902" s="5"/>
      <c r="H4902" s="5"/>
      <c r="I4902" s="5"/>
      <c r="J4902" s="5"/>
      <c r="K4902" s="5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</row>
    <row r="4903" spans="5:30" ht="15">
      <c r="E4903" s="9"/>
      <c r="F4903" s="5"/>
      <c r="G4903" s="5"/>
      <c r="H4903" s="5"/>
      <c r="I4903" s="5"/>
      <c r="J4903" s="5"/>
      <c r="K4903" s="5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</row>
    <row r="4904" spans="5:30" ht="15">
      <c r="E4904" s="9"/>
      <c r="F4904" s="5"/>
      <c r="G4904" s="5"/>
      <c r="H4904" s="5"/>
      <c r="I4904" s="5"/>
      <c r="J4904" s="5"/>
      <c r="K4904" s="5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</row>
    <row r="4905" spans="5:30" ht="15">
      <c r="E4905" s="9"/>
      <c r="F4905" s="5"/>
      <c r="G4905" s="5"/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</row>
    <row r="4906" spans="5:30" ht="15">
      <c r="E4906" s="9"/>
      <c r="F4906" s="5"/>
      <c r="G4906" s="5"/>
      <c r="H4906" s="5"/>
      <c r="I4906" s="5"/>
      <c r="J4906" s="5"/>
      <c r="K4906" s="5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</row>
    <row r="4907" spans="5:30" ht="15">
      <c r="E4907" s="9"/>
      <c r="F4907" s="5"/>
      <c r="G4907" s="5"/>
      <c r="H4907" s="5"/>
      <c r="I4907" s="5"/>
      <c r="J4907" s="5"/>
      <c r="K4907" s="5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</row>
    <row r="4908" spans="5:30" ht="15">
      <c r="E4908" s="9"/>
      <c r="F4908" s="5"/>
      <c r="G4908" s="5"/>
      <c r="H4908" s="5"/>
      <c r="I4908" s="5"/>
      <c r="J4908" s="5"/>
      <c r="K4908" s="5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</row>
    <row r="4909" spans="5:30" ht="15">
      <c r="E4909" s="9"/>
      <c r="F4909" s="5"/>
      <c r="G4909" s="5"/>
      <c r="H4909" s="5"/>
      <c r="I4909" s="5"/>
      <c r="J4909" s="5"/>
      <c r="K4909" s="5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</row>
    <row r="4910" spans="5:30" ht="15">
      <c r="E4910" s="9"/>
      <c r="F4910" s="5"/>
      <c r="G4910" s="5"/>
      <c r="H4910" s="5"/>
      <c r="I4910" s="5"/>
      <c r="J4910" s="5"/>
      <c r="K4910" s="5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</row>
    <row r="4911" spans="5:30" ht="15">
      <c r="E4911" s="9"/>
      <c r="F4911" s="5"/>
      <c r="G4911" s="5"/>
      <c r="H4911" s="5"/>
      <c r="I4911" s="5"/>
      <c r="J4911" s="5"/>
      <c r="K4911" s="5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</row>
    <row r="4912" spans="5:30" ht="15">
      <c r="E4912" s="9"/>
      <c r="F4912" s="5"/>
      <c r="G4912" s="5"/>
      <c r="H4912" s="5"/>
      <c r="I4912" s="5"/>
      <c r="J4912" s="5"/>
      <c r="K4912" s="5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</row>
    <row r="4913" spans="5:30" ht="15">
      <c r="E4913" s="9"/>
      <c r="F4913" s="5"/>
      <c r="G4913" s="5"/>
      <c r="H4913" s="5"/>
      <c r="I4913" s="5"/>
      <c r="J4913" s="5"/>
      <c r="K4913" s="5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</row>
    <row r="4914" spans="5:30" ht="15">
      <c r="E4914" s="9"/>
      <c r="F4914" s="5"/>
      <c r="G4914" s="5"/>
      <c r="H4914" s="5"/>
      <c r="I4914" s="5"/>
      <c r="J4914" s="5"/>
      <c r="K4914" s="5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</row>
    <row r="4915" spans="5:30" ht="15">
      <c r="E4915" s="9"/>
      <c r="F4915" s="5"/>
      <c r="G4915" s="5"/>
      <c r="H4915" s="5"/>
      <c r="I4915" s="5"/>
      <c r="J4915" s="5"/>
      <c r="K4915" s="5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</row>
    <row r="4916" spans="5:30" ht="15">
      <c r="E4916" s="9"/>
      <c r="F4916" s="5"/>
      <c r="G4916" s="5"/>
      <c r="H4916" s="5"/>
      <c r="I4916" s="5"/>
      <c r="J4916" s="5"/>
      <c r="K4916" s="5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</row>
    <row r="4917" spans="5:30" ht="15">
      <c r="E4917" s="9"/>
      <c r="F4917" s="5"/>
      <c r="G4917" s="5"/>
      <c r="H4917" s="5"/>
      <c r="I4917" s="5"/>
      <c r="J4917" s="5"/>
      <c r="K4917" s="5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</row>
    <row r="4918" spans="5:30" ht="15">
      <c r="E4918" s="9"/>
      <c r="F4918" s="5"/>
      <c r="G4918" s="5"/>
      <c r="H4918" s="5"/>
      <c r="I4918" s="5"/>
      <c r="J4918" s="5"/>
      <c r="K4918" s="5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</row>
    <row r="4919" spans="5:30" ht="15">
      <c r="E4919" s="9"/>
      <c r="F4919" s="5"/>
      <c r="G4919" s="5"/>
      <c r="H4919" s="5"/>
      <c r="I4919" s="5"/>
      <c r="J4919" s="5"/>
      <c r="K4919" s="5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</row>
    <row r="4920" spans="5:30" ht="15">
      <c r="E4920" s="9"/>
      <c r="F4920" s="5"/>
      <c r="G4920" s="5"/>
      <c r="H4920" s="5"/>
      <c r="I4920" s="5"/>
      <c r="J4920" s="5"/>
      <c r="K4920" s="5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</row>
    <row r="4921" spans="5:30" ht="15">
      <c r="E4921" s="9"/>
      <c r="F4921" s="5"/>
      <c r="G4921" s="5"/>
      <c r="H4921" s="5"/>
      <c r="I4921" s="5"/>
      <c r="J4921" s="5"/>
      <c r="K4921" s="5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</row>
    <row r="4922" spans="5:30" ht="15">
      <c r="E4922" s="9"/>
      <c r="F4922" s="5"/>
      <c r="G4922" s="5"/>
      <c r="H4922" s="5"/>
      <c r="I4922" s="5"/>
      <c r="J4922" s="5"/>
      <c r="K4922" s="5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</row>
    <row r="4923" spans="5:30" ht="15">
      <c r="E4923" s="9"/>
      <c r="F4923" s="5"/>
      <c r="G4923" s="5"/>
      <c r="H4923" s="5"/>
      <c r="I4923" s="5"/>
      <c r="J4923" s="5"/>
      <c r="K4923" s="5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</row>
    <row r="4924" spans="5:30" ht="15">
      <c r="E4924" s="9"/>
      <c r="F4924" s="5"/>
      <c r="G4924" s="5"/>
      <c r="H4924" s="5"/>
      <c r="I4924" s="5"/>
      <c r="J4924" s="5"/>
      <c r="K4924" s="5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</row>
    <row r="4925" spans="5:30" ht="15">
      <c r="E4925" s="9"/>
      <c r="F4925" s="5"/>
      <c r="G4925" s="5"/>
      <c r="H4925" s="5"/>
      <c r="I4925" s="5"/>
      <c r="J4925" s="5"/>
      <c r="K4925" s="5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</row>
    <row r="4926" spans="5:30" ht="15">
      <c r="E4926" s="9"/>
      <c r="F4926" s="5"/>
      <c r="G4926" s="5"/>
      <c r="H4926" s="5"/>
      <c r="I4926" s="5"/>
      <c r="J4926" s="5"/>
      <c r="K4926" s="5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</row>
    <row r="4927" spans="5:30" ht="15">
      <c r="E4927" s="9"/>
      <c r="F4927" s="5"/>
      <c r="G4927" s="5"/>
      <c r="H4927" s="5"/>
      <c r="I4927" s="5"/>
      <c r="J4927" s="5"/>
      <c r="K4927" s="5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</row>
    <row r="4928" spans="5:30" ht="15">
      <c r="E4928" s="9"/>
      <c r="F4928" s="5"/>
      <c r="G4928" s="5"/>
      <c r="H4928" s="5"/>
      <c r="I4928" s="5"/>
      <c r="J4928" s="5"/>
      <c r="K4928" s="5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</row>
    <row r="4929" spans="5:30" ht="15">
      <c r="E4929" s="9"/>
      <c r="F4929" s="5"/>
      <c r="G4929" s="5"/>
      <c r="H4929" s="5"/>
      <c r="I4929" s="5"/>
      <c r="J4929" s="5"/>
      <c r="K4929" s="5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</row>
    <row r="4930" spans="5:30" ht="15">
      <c r="E4930" s="9"/>
      <c r="F4930" s="5"/>
      <c r="G4930" s="5"/>
      <c r="H4930" s="5"/>
      <c r="I4930" s="5"/>
      <c r="J4930" s="5"/>
      <c r="K4930" s="5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</row>
    <row r="4931" spans="5:30" ht="15">
      <c r="E4931" s="9"/>
      <c r="F4931" s="5"/>
      <c r="G4931" s="5"/>
      <c r="H4931" s="5"/>
      <c r="I4931" s="5"/>
      <c r="J4931" s="5"/>
      <c r="K4931" s="5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</row>
    <row r="4932" spans="5:30" ht="15">
      <c r="E4932" s="9"/>
      <c r="F4932" s="5"/>
      <c r="G4932" s="5"/>
      <c r="H4932" s="5"/>
      <c r="I4932" s="5"/>
      <c r="J4932" s="5"/>
      <c r="K4932" s="5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</row>
    <row r="4933" spans="5:30" ht="15">
      <c r="E4933" s="9"/>
      <c r="F4933" s="5"/>
      <c r="G4933" s="5"/>
      <c r="H4933" s="5"/>
      <c r="I4933" s="5"/>
      <c r="J4933" s="5"/>
      <c r="K4933" s="5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</row>
    <row r="4934" spans="5:30" ht="15">
      <c r="E4934" s="9"/>
      <c r="F4934" s="5"/>
      <c r="G4934" s="5"/>
      <c r="H4934" s="5"/>
      <c r="I4934" s="5"/>
      <c r="J4934" s="5"/>
      <c r="K4934" s="5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</row>
    <row r="4935" spans="5:30" ht="15">
      <c r="E4935" s="9"/>
      <c r="F4935" s="5"/>
      <c r="G4935" s="5"/>
      <c r="H4935" s="5"/>
      <c r="I4935" s="5"/>
      <c r="J4935" s="5"/>
      <c r="K4935" s="5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</row>
    <row r="4936" spans="5:30" ht="15">
      <c r="E4936" s="9"/>
      <c r="F4936" s="5"/>
      <c r="G4936" s="5"/>
      <c r="H4936" s="5"/>
      <c r="I4936" s="5"/>
      <c r="J4936" s="5"/>
      <c r="K4936" s="5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</row>
    <row r="4937" spans="5:30" ht="15">
      <c r="E4937" s="9"/>
      <c r="F4937" s="5"/>
      <c r="G4937" s="5"/>
      <c r="H4937" s="5"/>
      <c r="I4937" s="5"/>
      <c r="J4937" s="5"/>
      <c r="K4937" s="5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</row>
    <row r="4938" spans="5:30" ht="15">
      <c r="E4938" s="9"/>
      <c r="F4938" s="5"/>
      <c r="G4938" s="5"/>
      <c r="H4938" s="5"/>
      <c r="I4938" s="5"/>
      <c r="J4938" s="5"/>
      <c r="K4938" s="5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</row>
    <row r="4939" spans="5:30" ht="15">
      <c r="E4939" s="9"/>
      <c r="F4939" s="5"/>
      <c r="G4939" s="5"/>
      <c r="H4939" s="5"/>
      <c r="I4939" s="5"/>
      <c r="J4939" s="5"/>
      <c r="K4939" s="5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</row>
    <row r="4940" spans="5:30" ht="15">
      <c r="E4940" s="9"/>
      <c r="F4940" s="5"/>
      <c r="G4940" s="5"/>
      <c r="H4940" s="5"/>
      <c r="I4940" s="5"/>
      <c r="J4940" s="5"/>
      <c r="K4940" s="5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</row>
    <row r="4941" spans="5:30" ht="15">
      <c r="E4941" s="9"/>
      <c r="F4941" s="5"/>
      <c r="G4941" s="5"/>
      <c r="H4941" s="5"/>
      <c r="I4941" s="5"/>
      <c r="J4941" s="5"/>
      <c r="K4941" s="5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</row>
    <row r="4942" spans="5:30" ht="15">
      <c r="E4942" s="9"/>
      <c r="F4942" s="5"/>
      <c r="G4942" s="5"/>
      <c r="H4942" s="5"/>
      <c r="I4942" s="5"/>
      <c r="J4942" s="5"/>
      <c r="K4942" s="5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</row>
    <row r="4943" spans="5:30" ht="15">
      <c r="E4943" s="9"/>
      <c r="F4943" s="5"/>
      <c r="G4943" s="5"/>
      <c r="H4943" s="5"/>
      <c r="I4943" s="5"/>
      <c r="J4943" s="5"/>
      <c r="K4943" s="5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</row>
    <row r="4944" spans="5:30" ht="15">
      <c r="E4944" s="9"/>
      <c r="F4944" s="5"/>
      <c r="G4944" s="5"/>
      <c r="H4944" s="5"/>
      <c r="I4944" s="5"/>
      <c r="J4944" s="5"/>
      <c r="K4944" s="5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</row>
    <row r="4945" spans="5:30" ht="15">
      <c r="E4945" s="9"/>
      <c r="F4945" s="5"/>
      <c r="G4945" s="5"/>
      <c r="H4945" s="5"/>
      <c r="I4945" s="5"/>
      <c r="J4945" s="5"/>
      <c r="K4945" s="5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</row>
    <row r="4946" spans="5:30" ht="15">
      <c r="E4946" s="9"/>
      <c r="F4946" s="5"/>
      <c r="G4946" s="5"/>
      <c r="H4946" s="5"/>
      <c r="I4946" s="5"/>
      <c r="J4946" s="5"/>
      <c r="K4946" s="5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</row>
    <row r="4947" spans="5:30" ht="15">
      <c r="E4947" s="9"/>
      <c r="F4947" s="5"/>
      <c r="G4947" s="5"/>
      <c r="H4947" s="5"/>
      <c r="I4947" s="5"/>
      <c r="J4947" s="5"/>
      <c r="K4947" s="5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</row>
    <row r="4948" spans="5:30" ht="15">
      <c r="E4948" s="9"/>
      <c r="F4948" s="5"/>
      <c r="G4948" s="5"/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</row>
    <row r="4949" spans="5:30" ht="15">
      <c r="E4949" s="9"/>
      <c r="F4949" s="5"/>
      <c r="G4949" s="5"/>
      <c r="H4949" s="5"/>
      <c r="I4949" s="5"/>
      <c r="J4949" s="5"/>
      <c r="K4949" s="5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</row>
    <row r="4950" spans="5:30" ht="15">
      <c r="E4950" s="9"/>
      <c r="F4950" s="5"/>
      <c r="G4950" s="5"/>
      <c r="H4950" s="5"/>
      <c r="I4950" s="5"/>
      <c r="J4950" s="5"/>
      <c r="K4950" s="5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</row>
    <row r="4951" spans="5:30" ht="15">
      <c r="E4951" s="9"/>
      <c r="F4951" s="5"/>
      <c r="G4951" s="5"/>
      <c r="H4951" s="5"/>
      <c r="I4951" s="5"/>
      <c r="J4951" s="5"/>
      <c r="K4951" s="5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</row>
    <row r="4952" spans="5:30" ht="15">
      <c r="E4952" s="9"/>
      <c r="F4952" s="5"/>
      <c r="G4952" s="5"/>
      <c r="H4952" s="5"/>
      <c r="I4952" s="5"/>
      <c r="J4952" s="5"/>
      <c r="K4952" s="5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</row>
    <row r="4953" spans="5:30" ht="15">
      <c r="E4953" s="9"/>
      <c r="F4953" s="5"/>
      <c r="G4953" s="5"/>
      <c r="H4953" s="5"/>
      <c r="I4953" s="5"/>
      <c r="J4953" s="5"/>
      <c r="K4953" s="5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</row>
    <row r="4954" spans="5:30" ht="15">
      <c r="E4954" s="9"/>
      <c r="F4954" s="5"/>
      <c r="G4954" s="5"/>
      <c r="H4954" s="5"/>
      <c r="I4954" s="5"/>
      <c r="J4954" s="5"/>
      <c r="K4954" s="5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</row>
    <row r="4955" spans="5:30" ht="15">
      <c r="E4955" s="9"/>
      <c r="F4955" s="5"/>
      <c r="G4955" s="5"/>
      <c r="H4955" s="5"/>
      <c r="I4955" s="5"/>
      <c r="J4955" s="5"/>
      <c r="K4955" s="5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</row>
    <row r="4956" spans="5:30" ht="15">
      <c r="E4956" s="9"/>
      <c r="F4956" s="5"/>
      <c r="G4956" s="5"/>
      <c r="H4956" s="5"/>
      <c r="I4956" s="5"/>
      <c r="J4956" s="5"/>
      <c r="K4956" s="5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</row>
    <row r="4957" spans="5:30" ht="15">
      <c r="E4957" s="9"/>
      <c r="F4957" s="5"/>
      <c r="G4957" s="5"/>
      <c r="H4957" s="5"/>
      <c r="I4957" s="5"/>
      <c r="J4957" s="5"/>
      <c r="K4957" s="5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</row>
    <row r="4958" spans="5:30" ht="15">
      <c r="E4958" s="9"/>
      <c r="F4958" s="5"/>
      <c r="G4958" s="5"/>
      <c r="H4958" s="5"/>
      <c r="I4958" s="5"/>
      <c r="J4958" s="5"/>
      <c r="K4958" s="5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</row>
    <row r="4959" spans="5:30" ht="15">
      <c r="E4959" s="9"/>
      <c r="F4959" s="5"/>
      <c r="G4959" s="5"/>
      <c r="H4959" s="5"/>
      <c r="I4959" s="5"/>
      <c r="J4959" s="5"/>
      <c r="K4959" s="5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</row>
    <row r="4960" spans="5:30" ht="15">
      <c r="E4960" s="9"/>
      <c r="F4960" s="5"/>
      <c r="G4960" s="5"/>
      <c r="H4960" s="5"/>
      <c r="I4960" s="5"/>
      <c r="J4960" s="5"/>
      <c r="K4960" s="5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</row>
    <row r="4961" spans="5:30" ht="15">
      <c r="E4961" s="9"/>
      <c r="F4961" s="5"/>
      <c r="G4961" s="5"/>
      <c r="H4961" s="5"/>
      <c r="I4961" s="5"/>
      <c r="J4961" s="5"/>
      <c r="K4961" s="5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</row>
    <row r="4962" spans="5:30" ht="15">
      <c r="E4962" s="9"/>
      <c r="F4962" s="5"/>
      <c r="G4962" s="5"/>
      <c r="H4962" s="5"/>
      <c r="I4962" s="5"/>
      <c r="J4962" s="5"/>
      <c r="K4962" s="5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</row>
    <row r="4963" spans="5:30" ht="15">
      <c r="E4963" s="9"/>
      <c r="F4963" s="5"/>
      <c r="G4963" s="5"/>
      <c r="H4963" s="5"/>
      <c r="I4963" s="5"/>
      <c r="J4963" s="5"/>
      <c r="K4963" s="5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</row>
    <row r="4964" spans="5:30" ht="15">
      <c r="E4964" s="9"/>
      <c r="F4964" s="5"/>
      <c r="G4964" s="5"/>
      <c r="H4964" s="5"/>
      <c r="I4964" s="5"/>
      <c r="J4964" s="5"/>
      <c r="K4964" s="5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</row>
    <row r="4965" spans="5:30" ht="15">
      <c r="E4965" s="9"/>
      <c r="F4965" s="5"/>
      <c r="G4965" s="5"/>
      <c r="H4965" s="5"/>
      <c r="I4965" s="5"/>
      <c r="J4965" s="5"/>
      <c r="K4965" s="5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</row>
    <row r="4966" spans="5:30" ht="15">
      <c r="E4966" s="9"/>
      <c r="F4966" s="5"/>
      <c r="G4966" s="5"/>
      <c r="H4966" s="5"/>
      <c r="I4966" s="5"/>
      <c r="J4966" s="5"/>
      <c r="K4966" s="5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</row>
    <row r="4967" spans="5:30" ht="15">
      <c r="E4967" s="9"/>
      <c r="F4967" s="5"/>
      <c r="G4967" s="5"/>
      <c r="H4967" s="5"/>
      <c r="I4967" s="5"/>
      <c r="J4967" s="5"/>
      <c r="K4967" s="5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</row>
    <row r="4968" spans="5:30" ht="15">
      <c r="E4968" s="9"/>
      <c r="F4968" s="5"/>
      <c r="G4968" s="5"/>
      <c r="H4968" s="5"/>
      <c r="I4968" s="5"/>
      <c r="J4968" s="5"/>
      <c r="K4968" s="5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</row>
    <row r="4969" spans="5:30" ht="15">
      <c r="E4969" s="9"/>
      <c r="F4969" s="5"/>
      <c r="G4969" s="5"/>
      <c r="H4969" s="5"/>
      <c r="I4969" s="5"/>
      <c r="J4969" s="5"/>
      <c r="K4969" s="5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</row>
    <row r="4970" spans="5:30" ht="15">
      <c r="E4970" s="9"/>
      <c r="F4970" s="5"/>
      <c r="G4970" s="5"/>
      <c r="H4970" s="5"/>
      <c r="I4970" s="5"/>
      <c r="J4970" s="5"/>
      <c r="K4970" s="5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</row>
    <row r="4971" spans="5:30" ht="15">
      <c r="E4971" s="9"/>
      <c r="F4971" s="5"/>
      <c r="G4971" s="5"/>
      <c r="H4971" s="5"/>
      <c r="I4971" s="5"/>
      <c r="J4971" s="5"/>
      <c r="K4971" s="5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</row>
    <row r="4972" spans="5:30" ht="15">
      <c r="E4972" s="9"/>
      <c r="F4972" s="5"/>
      <c r="G4972" s="5"/>
      <c r="H4972" s="5"/>
      <c r="I4972" s="5"/>
      <c r="J4972" s="5"/>
      <c r="K4972" s="5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</row>
    <row r="4973" spans="5:30" ht="15">
      <c r="E4973" s="9"/>
      <c r="F4973" s="5"/>
      <c r="G4973" s="5"/>
      <c r="H4973" s="5"/>
      <c r="I4973" s="5"/>
      <c r="J4973" s="5"/>
      <c r="K4973" s="5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</row>
    <row r="4974" spans="5:30" ht="15">
      <c r="E4974" s="9"/>
      <c r="F4974" s="5"/>
      <c r="G4974" s="5"/>
      <c r="H4974" s="5"/>
      <c r="I4974" s="5"/>
      <c r="J4974" s="5"/>
      <c r="K4974" s="5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</row>
    <row r="4975" spans="5:30" ht="15">
      <c r="E4975" s="9"/>
      <c r="F4975" s="5"/>
      <c r="G4975" s="5"/>
      <c r="H4975" s="5"/>
      <c r="I4975" s="5"/>
      <c r="J4975" s="5"/>
      <c r="K4975" s="5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</row>
    <row r="4976" spans="5:30" ht="15">
      <c r="E4976" s="9"/>
      <c r="F4976" s="5"/>
      <c r="G4976" s="5"/>
      <c r="H4976" s="5"/>
      <c r="I4976" s="5"/>
      <c r="J4976" s="5"/>
      <c r="K4976" s="5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</row>
    <row r="4977" spans="5:30" ht="15">
      <c r="E4977" s="9"/>
      <c r="F4977" s="5"/>
      <c r="G4977" s="5"/>
      <c r="H4977" s="5"/>
      <c r="I4977" s="5"/>
      <c r="J4977" s="5"/>
      <c r="K4977" s="5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</row>
    <row r="4978" spans="5:30" ht="15">
      <c r="E4978" s="9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</row>
    <row r="4979" spans="5:30" ht="15">
      <c r="E4979" s="9"/>
      <c r="F4979" s="5"/>
      <c r="G4979" s="5"/>
      <c r="H4979" s="5"/>
      <c r="I4979" s="5"/>
      <c r="J4979" s="5"/>
      <c r="K4979" s="5"/>
      <c r="L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</row>
    <row r="4980" spans="5:30" ht="15">
      <c r="E4980" s="9"/>
      <c r="F4980" s="5"/>
      <c r="G4980" s="5"/>
      <c r="H4980" s="5"/>
      <c r="I4980" s="5"/>
      <c r="J4980" s="5"/>
      <c r="K4980" s="5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</row>
    <row r="4981" spans="5:30" ht="15">
      <c r="E4981" s="9"/>
      <c r="F4981" s="5"/>
      <c r="G4981" s="5"/>
      <c r="H4981" s="5"/>
      <c r="I4981" s="5"/>
      <c r="J4981" s="5"/>
      <c r="K4981" s="5"/>
      <c r="L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</row>
    <row r="4982" spans="5:30" ht="15">
      <c r="E4982" s="9"/>
      <c r="F4982" s="5"/>
      <c r="G4982" s="5"/>
      <c r="H4982" s="5"/>
      <c r="I4982" s="5"/>
      <c r="J4982" s="5"/>
      <c r="K4982" s="5"/>
      <c r="L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</row>
    <row r="4983" spans="5:30" ht="15">
      <c r="E4983" s="9"/>
      <c r="F4983" s="5"/>
      <c r="G4983" s="5"/>
      <c r="H4983" s="5"/>
      <c r="I4983" s="5"/>
      <c r="J4983" s="5"/>
      <c r="K4983" s="5"/>
      <c r="L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</row>
    <row r="4984" spans="5:30" ht="15">
      <c r="E4984" s="9"/>
      <c r="F4984" s="5"/>
      <c r="G4984" s="5"/>
      <c r="H4984" s="5"/>
      <c r="I4984" s="5"/>
      <c r="J4984" s="5"/>
      <c r="K4984" s="5"/>
      <c r="L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</row>
    <row r="4985" spans="5:30" ht="15">
      <c r="E4985" s="9"/>
      <c r="F4985" s="5"/>
      <c r="G4985" s="5"/>
      <c r="H4985" s="5"/>
      <c r="I4985" s="5"/>
      <c r="J4985" s="5"/>
      <c r="K4985" s="5"/>
      <c r="L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</row>
    <row r="4986" spans="5:30" ht="15">
      <c r="E4986" s="9"/>
      <c r="F4986" s="5"/>
      <c r="G4986" s="5"/>
      <c r="H4986" s="5"/>
      <c r="I4986" s="5"/>
      <c r="J4986" s="5"/>
      <c r="K4986" s="5"/>
      <c r="L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</row>
    <row r="4987" spans="5:30" ht="15">
      <c r="E4987" s="9"/>
      <c r="F4987" s="5"/>
      <c r="G4987" s="5"/>
      <c r="H4987" s="5"/>
      <c r="I4987" s="5"/>
      <c r="J4987" s="5"/>
      <c r="K4987" s="5"/>
      <c r="L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</row>
    <row r="4988" spans="5:30" ht="15">
      <c r="E4988" s="9"/>
      <c r="F4988" s="5"/>
      <c r="G4988" s="5"/>
      <c r="H4988" s="5"/>
      <c r="I4988" s="5"/>
      <c r="J4988" s="5"/>
      <c r="K4988" s="5"/>
      <c r="L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</row>
    <row r="4989" spans="5:30" ht="15">
      <c r="E4989" s="9"/>
      <c r="F4989" s="5"/>
      <c r="G4989" s="5"/>
      <c r="H4989" s="5"/>
      <c r="I4989" s="5"/>
      <c r="J4989" s="5"/>
      <c r="K4989" s="5"/>
      <c r="L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</row>
    <row r="4990" spans="5:30" ht="15">
      <c r="E4990" s="9"/>
      <c r="F4990" s="5"/>
      <c r="G4990" s="5"/>
      <c r="H4990" s="5"/>
      <c r="I4990" s="5"/>
      <c r="J4990" s="5"/>
      <c r="K4990" s="5"/>
      <c r="L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</row>
    <row r="4991" spans="5:30" ht="15">
      <c r="E4991" s="9"/>
      <c r="F4991" s="5"/>
      <c r="G4991" s="5"/>
      <c r="H4991" s="5"/>
      <c r="I4991" s="5"/>
      <c r="J4991" s="5"/>
      <c r="K4991" s="5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</row>
    <row r="4992" spans="5:30" ht="15">
      <c r="E4992" s="9"/>
      <c r="F4992" s="5"/>
      <c r="G4992" s="5"/>
      <c r="H4992" s="5"/>
      <c r="I4992" s="5"/>
      <c r="J4992" s="5"/>
      <c r="K4992" s="5"/>
      <c r="L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</row>
    <row r="4993" spans="5:30" ht="15">
      <c r="E4993" s="9"/>
      <c r="F4993" s="5"/>
      <c r="G4993" s="5"/>
      <c r="H4993" s="5"/>
      <c r="I4993" s="5"/>
      <c r="J4993" s="5"/>
      <c r="K4993" s="5"/>
      <c r="L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</row>
    <row r="4994" spans="5:30" ht="15">
      <c r="E4994" s="9"/>
      <c r="F4994" s="5"/>
      <c r="G4994" s="5"/>
      <c r="H4994" s="5"/>
      <c r="I4994" s="5"/>
      <c r="J4994" s="5"/>
      <c r="K4994" s="5"/>
      <c r="L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</row>
    <row r="4995" spans="5:30" ht="15">
      <c r="E4995" s="9"/>
      <c r="F4995" s="5"/>
      <c r="G4995" s="5"/>
      <c r="H4995" s="5"/>
      <c r="I4995" s="5"/>
      <c r="J4995" s="5"/>
      <c r="K4995" s="5"/>
      <c r="L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</row>
    <row r="4996" spans="5:30" ht="15">
      <c r="E4996" s="9"/>
      <c r="F4996" s="5"/>
      <c r="G4996" s="5"/>
      <c r="H4996" s="5"/>
      <c r="I4996" s="5"/>
      <c r="J4996" s="5"/>
      <c r="K4996" s="5"/>
      <c r="L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</row>
    <row r="4997" spans="5:30" ht="15">
      <c r="E4997" s="9"/>
      <c r="F4997" s="5"/>
      <c r="G4997" s="5"/>
      <c r="H4997" s="5"/>
      <c r="I4997" s="5"/>
      <c r="J4997" s="5"/>
      <c r="K4997" s="5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</row>
    <row r="4998" spans="5:30" ht="15">
      <c r="E4998" s="9"/>
      <c r="F4998" s="5"/>
      <c r="G4998" s="5"/>
      <c r="H4998" s="5"/>
      <c r="I4998" s="5"/>
      <c r="J4998" s="5"/>
      <c r="K4998" s="5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</row>
    <row r="4999" spans="5:30" ht="15">
      <c r="E4999" s="9"/>
      <c r="F4999" s="5"/>
      <c r="G4999" s="5"/>
      <c r="H4999" s="5"/>
      <c r="I4999" s="5"/>
      <c r="J4999" s="5"/>
      <c r="K4999" s="5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</row>
    <row r="5000" spans="5:30" ht="15">
      <c r="E5000" s="9"/>
      <c r="F5000" s="5"/>
      <c r="G5000" s="5"/>
      <c r="H5000" s="5"/>
      <c r="I5000" s="5"/>
      <c r="J5000" s="5"/>
      <c r="K5000" s="5"/>
      <c r="L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</row>
    <row r="5001" spans="5:30" ht="15">
      <c r="E5001" s="9"/>
      <c r="F5001" s="5"/>
      <c r="G5001" s="5"/>
      <c r="H5001" s="5"/>
      <c r="I5001" s="5"/>
      <c r="J5001" s="5"/>
      <c r="K5001" s="5"/>
      <c r="L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</row>
    <row r="5002" spans="5:30" ht="15">
      <c r="E5002" s="9"/>
      <c r="F5002" s="5"/>
      <c r="G5002" s="5"/>
      <c r="H5002" s="5"/>
      <c r="I5002" s="5"/>
      <c r="J5002" s="5"/>
      <c r="K5002" s="5"/>
      <c r="L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</row>
    <row r="5003" spans="5:30" ht="15">
      <c r="E5003" s="9"/>
      <c r="F5003" s="5"/>
      <c r="G5003" s="5"/>
      <c r="H5003" s="5"/>
      <c r="I5003" s="5"/>
      <c r="J5003" s="5"/>
      <c r="K5003" s="5"/>
      <c r="L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</row>
    <row r="5004" spans="5:30" ht="15">
      <c r="E5004" s="9"/>
      <c r="F5004" s="5"/>
      <c r="G5004" s="5"/>
      <c r="H5004" s="5"/>
      <c r="I5004" s="5"/>
      <c r="J5004" s="5"/>
      <c r="K5004" s="5"/>
      <c r="L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</row>
    <row r="5005" spans="5:30" ht="15">
      <c r="E5005" s="9"/>
      <c r="F5005" s="5"/>
      <c r="G5005" s="5"/>
      <c r="H5005" s="5"/>
      <c r="I5005" s="5"/>
      <c r="J5005" s="5"/>
      <c r="K5005" s="5"/>
      <c r="L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</row>
    <row r="5006" spans="5:30" ht="15">
      <c r="E5006" s="9"/>
      <c r="F5006" s="5"/>
      <c r="G5006" s="5"/>
      <c r="H5006" s="5"/>
      <c r="I5006" s="5"/>
      <c r="J5006" s="5"/>
      <c r="K5006" s="5"/>
      <c r="L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</row>
    <row r="5007" spans="5:30" ht="15">
      <c r="E5007" s="9"/>
      <c r="F5007" s="5"/>
      <c r="G5007" s="5"/>
      <c r="H5007" s="5"/>
      <c r="I5007" s="5"/>
      <c r="J5007" s="5"/>
      <c r="K5007" s="5"/>
      <c r="L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</row>
    <row r="5008" spans="5:30" ht="15">
      <c r="E5008" s="9"/>
      <c r="F5008" s="5"/>
      <c r="G5008" s="5"/>
      <c r="H5008" s="5"/>
      <c r="I5008" s="5"/>
      <c r="J5008" s="5"/>
      <c r="K5008" s="5"/>
      <c r="L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</row>
    <row r="5009" spans="5:30" ht="15">
      <c r="E5009" s="9"/>
      <c r="F5009" s="5"/>
      <c r="G5009" s="5"/>
      <c r="H5009" s="5"/>
      <c r="I5009" s="5"/>
      <c r="J5009" s="5"/>
      <c r="K5009" s="5"/>
      <c r="L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</row>
    <row r="5010" spans="5:30" ht="15">
      <c r="E5010" s="9"/>
      <c r="F5010" s="5"/>
      <c r="G5010" s="5"/>
      <c r="H5010" s="5"/>
      <c r="I5010" s="5"/>
      <c r="J5010" s="5"/>
      <c r="K5010" s="5"/>
      <c r="L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</row>
    <row r="5011" spans="5:30" ht="15">
      <c r="E5011" s="9"/>
      <c r="F5011" s="5"/>
      <c r="G5011" s="5"/>
      <c r="H5011" s="5"/>
      <c r="I5011" s="5"/>
      <c r="J5011" s="5"/>
      <c r="K5011" s="5"/>
      <c r="L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</row>
    <row r="5012" spans="5:30" ht="15">
      <c r="E5012" s="9"/>
      <c r="F5012" s="5"/>
      <c r="G5012" s="5"/>
      <c r="H5012" s="5"/>
      <c r="I5012" s="5"/>
      <c r="J5012" s="5"/>
      <c r="K5012" s="5"/>
      <c r="L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</row>
    <row r="5013" spans="5:30" ht="15">
      <c r="E5013" s="9"/>
      <c r="F5013" s="5"/>
      <c r="G5013" s="5"/>
      <c r="H5013" s="5"/>
      <c r="I5013" s="5"/>
      <c r="J5013" s="5"/>
      <c r="K5013" s="5"/>
      <c r="L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</row>
    <row r="5014" spans="5:30" ht="15">
      <c r="E5014" s="9"/>
      <c r="F5014" s="5"/>
      <c r="G5014" s="5"/>
      <c r="H5014" s="5"/>
      <c r="I5014" s="5"/>
      <c r="J5014" s="5"/>
      <c r="K5014" s="5"/>
      <c r="L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</row>
    <row r="5015" spans="5:30" ht="15">
      <c r="E5015" s="9"/>
      <c r="F5015" s="5"/>
      <c r="G5015" s="5"/>
      <c r="H5015" s="5"/>
      <c r="I5015" s="5"/>
      <c r="J5015" s="5"/>
      <c r="K5015" s="5"/>
      <c r="L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</row>
    <row r="5016" spans="5:30" ht="15">
      <c r="E5016" s="9"/>
      <c r="F5016" s="5"/>
      <c r="G5016" s="5"/>
      <c r="H5016" s="5"/>
      <c r="I5016" s="5"/>
      <c r="J5016" s="5"/>
      <c r="K5016" s="5"/>
      <c r="L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</row>
    <row r="5017" spans="5:30" ht="15">
      <c r="E5017" s="9"/>
      <c r="F5017" s="5"/>
      <c r="G5017" s="5"/>
      <c r="H5017" s="5"/>
      <c r="I5017" s="5"/>
      <c r="J5017" s="5"/>
      <c r="K5017" s="5"/>
      <c r="L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</row>
    <row r="5018" spans="5:30" ht="15">
      <c r="E5018" s="9"/>
      <c r="F5018" s="5"/>
      <c r="G5018" s="5"/>
      <c r="H5018" s="5"/>
      <c r="I5018" s="5"/>
      <c r="J5018" s="5"/>
      <c r="K5018" s="5"/>
      <c r="L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</row>
    <row r="5019" spans="5:30" ht="15">
      <c r="E5019" s="9"/>
      <c r="F5019" s="5"/>
      <c r="G5019" s="5"/>
      <c r="H5019" s="5"/>
      <c r="I5019" s="5"/>
      <c r="J5019" s="5"/>
      <c r="K5019" s="5"/>
      <c r="L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</row>
    <row r="5020" spans="5:30" ht="15">
      <c r="E5020" s="9"/>
      <c r="F5020" s="5"/>
      <c r="G5020" s="5"/>
      <c r="H5020" s="5"/>
      <c r="I5020" s="5"/>
      <c r="J5020" s="5"/>
      <c r="K5020" s="5"/>
      <c r="L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</row>
    <row r="5021" spans="5:30" ht="15">
      <c r="E5021" s="9"/>
      <c r="F5021" s="5"/>
      <c r="G5021" s="5"/>
      <c r="H5021" s="5"/>
      <c r="I5021" s="5"/>
      <c r="J5021" s="5"/>
      <c r="K5021" s="5"/>
      <c r="L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</row>
    <row r="5022" spans="5:30" ht="15">
      <c r="E5022" s="9"/>
      <c r="F5022" s="5"/>
      <c r="G5022" s="5"/>
      <c r="H5022" s="5"/>
      <c r="I5022" s="5"/>
      <c r="J5022" s="5"/>
      <c r="K5022" s="5"/>
      <c r="L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</row>
    <row r="5023" spans="5:30" ht="15">
      <c r="E5023" s="9"/>
      <c r="F5023" s="5"/>
      <c r="G5023" s="5"/>
      <c r="H5023" s="5"/>
      <c r="I5023" s="5"/>
      <c r="J5023" s="5"/>
      <c r="K5023" s="5"/>
      <c r="L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</row>
    <row r="5024" spans="5:30" ht="15">
      <c r="E5024" s="9"/>
      <c r="F5024" s="5"/>
      <c r="G5024" s="5"/>
      <c r="H5024" s="5"/>
      <c r="I5024" s="5"/>
      <c r="J5024" s="5"/>
      <c r="K5024" s="5"/>
      <c r="L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</row>
    <row r="5025" spans="5:30" ht="15">
      <c r="E5025" s="9"/>
      <c r="F5025" s="5"/>
      <c r="G5025" s="5"/>
      <c r="H5025" s="5"/>
      <c r="I5025" s="5"/>
      <c r="J5025" s="5"/>
      <c r="K5025" s="5"/>
      <c r="L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</row>
    <row r="5026" spans="5:30" ht="15">
      <c r="E5026" s="9"/>
      <c r="F5026" s="5"/>
      <c r="G5026" s="5"/>
      <c r="H5026" s="5"/>
      <c r="I5026" s="5"/>
      <c r="J5026" s="5"/>
      <c r="K5026" s="5"/>
      <c r="L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</row>
    <row r="5027" spans="5:30" ht="15">
      <c r="E5027" s="9"/>
      <c r="F5027" s="5"/>
      <c r="G5027" s="5"/>
      <c r="H5027" s="5"/>
      <c r="I5027" s="5"/>
      <c r="J5027" s="5"/>
      <c r="K5027" s="5"/>
      <c r="L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</row>
    <row r="5028" spans="5:30" ht="15">
      <c r="E5028" s="9"/>
      <c r="F5028" s="5"/>
      <c r="G5028" s="5"/>
      <c r="H5028" s="5"/>
      <c r="I5028" s="5"/>
      <c r="J5028" s="5"/>
      <c r="K5028" s="5"/>
      <c r="L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</row>
    <row r="5029" spans="5:30" ht="15">
      <c r="E5029" s="9"/>
      <c r="F5029" s="5"/>
      <c r="G5029" s="5"/>
      <c r="H5029" s="5"/>
      <c r="I5029" s="5"/>
      <c r="J5029" s="5"/>
      <c r="K5029" s="5"/>
      <c r="L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</row>
    <row r="5030" spans="5:30" ht="15">
      <c r="E5030" s="9"/>
      <c r="F5030" s="5"/>
      <c r="G5030" s="5"/>
      <c r="H5030" s="5"/>
      <c r="I5030" s="5"/>
      <c r="J5030" s="5"/>
      <c r="K5030" s="5"/>
      <c r="L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</row>
    <row r="5031" spans="5:30" ht="15">
      <c r="E5031" s="9"/>
      <c r="F5031" s="5"/>
      <c r="G5031" s="5"/>
      <c r="H5031" s="5"/>
      <c r="I5031" s="5"/>
      <c r="J5031" s="5"/>
      <c r="K5031" s="5"/>
      <c r="L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</row>
    <row r="5032" spans="5:30" ht="15">
      <c r="E5032" s="9"/>
      <c r="F5032" s="5"/>
      <c r="G5032" s="5"/>
      <c r="H5032" s="5"/>
      <c r="I5032" s="5"/>
      <c r="J5032" s="5"/>
      <c r="K5032" s="5"/>
      <c r="L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</row>
    <row r="5033" spans="5:30" ht="15">
      <c r="E5033" s="9"/>
      <c r="F5033" s="5"/>
      <c r="G5033" s="5"/>
      <c r="H5033" s="5"/>
      <c r="I5033" s="5"/>
      <c r="J5033" s="5"/>
      <c r="K5033" s="5"/>
      <c r="L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</row>
    <row r="5034" spans="5:30" ht="15">
      <c r="E5034" s="9"/>
      <c r="F5034" s="5"/>
      <c r="G5034" s="5"/>
      <c r="H5034" s="5"/>
      <c r="I5034" s="5"/>
      <c r="J5034" s="5"/>
      <c r="K5034" s="5"/>
      <c r="L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</row>
    <row r="5035" spans="5:30" ht="15">
      <c r="E5035" s="9"/>
      <c r="F5035" s="5"/>
      <c r="G5035" s="5"/>
      <c r="H5035" s="5"/>
      <c r="I5035" s="5"/>
      <c r="J5035" s="5"/>
      <c r="K5035" s="5"/>
      <c r="L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</row>
    <row r="5036" spans="5:30" ht="15">
      <c r="E5036" s="9"/>
      <c r="F5036" s="5"/>
      <c r="G5036" s="5"/>
      <c r="H5036" s="5"/>
      <c r="I5036" s="5"/>
      <c r="J5036" s="5"/>
      <c r="K5036" s="5"/>
      <c r="L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</row>
    <row r="5037" spans="5:30" ht="15">
      <c r="E5037" s="9"/>
      <c r="F5037" s="5"/>
      <c r="G5037" s="5"/>
      <c r="H5037" s="5"/>
      <c r="I5037" s="5"/>
      <c r="J5037" s="5"/>
      <c r="K5037" s="5"/>
      <c r="L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</row>
    <row r="5038" spans="5:30" ht="15">
      <c r="E5038" s="9"/>
      <c r="F5038" s="5"/>
      <c r="G5038" s="5"/>
      <c r="H5038" s="5"/>
      <c r="I5038" s="5"/>
      <c r="J5038" s="5"/>
      <c r="K5038" s="5"/>
      <c r="L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</row>
    <row r="5039" spans="5:30" ht="15">
      <c r="E5039" s="9"/>
      <c r="F5039" s="5"/>
      <c r="G5039" s="5"/>
      <c r="H5039" s="5"/>
      <c r="I5039" s="5"/>
      <c r="J5039" s="5"/>
      <c r="K5039" s="5"/>
      <c r="L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</row>
    <row r="5040" spans="5:30" ht="15">
      <c r="E5040" s="9"/>
      <c r="F5040" s="5"/>
      <c r="G5040" s="5"/>
      <c r="H5040" s="5"/>
      <c r="I5040" s="5"/>
      <c r="J5040" s="5"/>
      <c r="K5040" s="5"/>
      <c r="L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</row>
    <row r="5041" spans="5:30" ht="15">
      <c r="E5041" s="9"/>
      <c r="F5041" s="5"/>
      <c r="G5041" s="5"/>
      <c r="H5041" s="5"/>
      <c r="I5041" s="5"/>
      <c r="J5041" s="5"/>
      <c r="K5041" s="5"/>
      <c r="L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</row>
    <row r="5042" spans="5:30" ht="15">
      <c r="E5042" s="9"/>
      <c r="F5042" s="5"/>
      <c r="G5042" s="5"/>
      <c r="H5042" s="5"/>
      <c r="I5042" s="5"/>
      <c r="J5042" s="5"/>
      <c r="K5042" s="5"/>
      <c r="L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</row>
    <row r="5043" spans="5:30" ht="15">
      <c r="E5043" s="9"/>
      <c r="F5043" s="5"/>
      <c r="G5043" s="5"/>
      <c r="H5043" s="5"/>
      <c r="I5043" s="5"/>
      <c r="J5043" s="5"/>
      <c r="K5043" s="5"/>
      <c r="L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</row>
    <row r="5044" spans="5:30" ht="15">
      <c r="E5044" s="9"/>
      <c r="F5044" s="5"/>
      <c r="G5044" s="5"/>
      <c r="H5044" s="5"/>
      <c r="I5044" s="5"/>
      <c r="J5044" s="5"/>
      <c r="K5044" s="5"/>
      <c r="L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</row>
    <row r="5045" spans="5:30" ht="15">
      <c r="E5045" s="9"/>
      <c r="F5045" s="5"/>
      <c r="G5045" s="5"/>
      <c r="H5045" s="5"/>
      <c r="I5045" s="5"/>
      <c r="J5045" s="5"/>
      <c r="K5045" s="5"/>
      <c r="L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</row>
    <row r="5046" spans="5:30" ht="15">
      <c r="E5046" s="9"/>
      <c r="F5046" s="5"/>
      <c r="G5046" s="5"/>
      <c r="H5046" s="5"/>
      <c r="I5046" s="5"/>
      <c r="J5046" s="5"/>
      <c r="K5046" s="5"/>
      <c r="L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</row>
    <row r="5047" spans="5:30" ht="15">
      <c r="E5047" s="9"/>
      <c r="F5047" s="5"/>
      <c r="G5047" s="5"/>
      <c r="H5047" s="5"/>
      <c r="I5047" s="5"/>
      <c r="J5047" s="5"/>
      <c r="K5047" s="5"/>
      <c r="L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</row>
    <row r="5048" spans="5:30" ht="15">
      <c r="E5048" s="9"/>
      <c r="F5048" s="5"/>
      <c r="G5048" s="5"/>
      <c r="H5048" s="5"/>
      <c r="I5048" s="5"/>
      <c r="J5048" s="5"/>
      <c r="K5048" s="5"/>
      <c r="L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</row>
    <row r="5049" spans="5:30" ht="15">
      <c r="E5049" s="9"/>
      <c r="F5049" s="5"/>
      <c r="G5049" s="5"/>
      <c r="H5049" s="5"/>
      <c r="I5049" s="5"/>
      <c r="J5049" s="5"/>
      <c r="K5049" s="5"/>
      <c r="L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</row>
    <row r="5050" spans="5:30" ht="15">
      <c r="E5050" s="9"/>
      <c r="F5050" s="5"/>
      <c r="G5050" s="5"/>
      <c r="H5050" s="5"/>
      <c r="I5050" s="5"/>
      <c r="J5050" s="5"/>
      <c r="K5050" s="5"/>
      <c r="L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</row>
    <row r="5051" spans="5:30" ht="15">
      <c r="E5051" s="9"/>
      <c r="F5051" s="5"/>
      <c r="G5051" s="5"/>
      <c r="H5051" s="5"/>
      <c r="I5051" s="5"/>
      <c r="J5051" s="5"/>
      <c r="K5051" s="5"/>
      <c r="L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</row>
    <row r="5052" spans="5:30" ht="15">
      <c r="E5052" s="9"/>
      <c r="F5052" s="5"/>
      <c r="G5052" s="5"/>
      <c r="H5052" s="5"/>
      <c r="I5052" s="5"/>
      <c r="J5052" s="5"/>
      <c r="K5052" s="5"/>
      <c r="L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</row>
    <row r="5053" spans="5:30" ht="15">
      <c r="E5053" s="9"/>
      <c r="F5053" s="5"/>
      <c r="G5053" s="5"/>
      <c r="H5053" s="5"/>
      <c r="I5053" s="5"/>
      <c r="J5053" s="5"/>
      <c r="K5053" s="5"/>
      <c r="L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</row>
    <row r="5054" spans="5:30" ht="15">
      <c r="E5054" s="9"/>
      <c r="F5054" s="5"/>
      <c r="G5054" s="5"/>
      <c r="H5054" s="5"/>
      <c r="I5054" s="5"/>
      <c r="J5054" s="5"/>
      <c r="K5054" s="5"/>
      <c r="L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</row>
    <row r="5055" spans="5:30" ht="15">
      <c r="E5055" s="9"/>
      <c r="F5055" s="5"/>
      <c r="G5055" s="5"/>
      <c r="H5055" s="5"/>
      <c r="I5055" s="5"/>
      <c r="J5055" s="5"/>
      <c r="K5055" s="5"/>
      <c r="L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Data">
                <anchor moveWithCells="1" sizeWithCells="1">
                  <from>
                    <xdr:col>1</xdr:col>
                    <xdr:colOff>47625</xdr:colOff>
                    <xdr:row>10</xdr:row>
                    <xdr:rowOff>161925</xdr:rowOff>
                  </from>
                  <to>
                    <xdr:col>1</xdr:col>
                    <xdr:colOff>752475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1]!RefreshData">
                <anchor moveWithCells="1" sizeWithCells="1">
                  <from>
                    <xdr:col>2</xdr:col>
                    <xdr:colOff>47625</xdr:colOff>
                    <xdr:row>10</xdr:row>
                    <xdr:rowOff>161925</xdr:rowOff>
                  </from>
                  <to>
                    <xdr:col>2</xdr:col>
                    <xdr:colOff>752475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D5055"/>
  <sheetViews>
    <sheetView showGridLines="0" zoomScale="75" zoomScaleNormal="75" workbookViewId="0"/>
  </sheetViews>
  <sheetFormatPr defaultColWidth="10.125" defaultRowHeight="14.25"/>
  <cols>
    <col min="1" max="1" width="3.625" style="1" customWidth="1"/>
    <col min="2" max="2" width="10.125" style="1"/>
    <col min="3" max="3" width="12.875" style="1" customWidth="1"/>
    <col min="4" max="4" width="4" style="1" customWidth="1"/>
    <col min="5" max="5" width="10.625" style="7" bestFit="1" customWidth="1"/>
    <col min="6" max="30" width="10.25" style="1" bestFit="1" customWidth="1"/>
    <col min="31" max="16384" width="10.125" style="1"/>
  </cols>
  <sheetData>
    <row r="2" spans="2:30" ht="15">
      <c r="B2" s="2" t="s">
        <v>0</v>
      </c>
      <c r="C2" s="2"/>
      <c r="E2" s="8" t="s">
        <v>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2:30" ht="15">
      <c r="B3" s="3" t="s">
        <v>2</v>
      </c>
      <c r="C3" s="6">
        <v>-24</v>
      </c>
      <c r="E3" s="9" t="s">
        <v>3</v>
      </c>
      <c r="F3" s="12" t="s">
        <v>40</v>
      </c>
      <c r="G3" s="12" t="s">
        <v>20</v>
      </c>
      <c r="H3" s="12" t="s">
        <v>21</v>
      </c>
      <c r="I3" s="12" t="s">
        <v>4</v>
      </c>
      <c r="J3" s="12" t="s">
        <v>45</v>
      </c>
      <c r="K3" s="12" t="s">
        <v>44</v>
      </c>
      <c r="L3" s="12" t="s">
        <v>22</v>
      </c>
      <c r="M3" s="12" t="s">
        <v>41</v>
      </c>
      <c r="N3" s="12" t="s">
        <v>42</v>
      </c>
      <c r="O3" s="12" t="s">
        <v>43</v>
      </c>
      <c r="P3" s="12" t="s">
        <v>23</v>
      </c>
      <c r="Q3" s="12" t="s">
        <v>24</v>
      </c>
      <c r="R3" s="12" t="s">
        <v>29</v>
      </c>
      <c r="S3" s="12" t="s">
        <v>26</v>
      </c>
      <c r="T3" s="12" t="s">
        <v>27</v>
      </c>
      <c r="U3" s="12" t="s">
        <v>28</v>
      </c>
      <c r="V3" s="12" t="s">
        <v>30</v>
      </c>
      <c r="W3" s="12" t="s">
        <v>31</v>
      </c>
      <c r="X3" s="12" t="s">
        <v>33</v>
      </c>
      <c r="Y3" s="12" t="s">
        <v>34</v>
      </c>
      <c r="Z3" s="12" t="s">
        <v>32</v>
      </c>
      <c r="AA3" s="12" t="s">
        <v>35</v>
      </c>
      <c r="AB3" s="12" t="s">
        <v>36</v>
      </c>
      <c r="AC3" s="12" t="s">
        <v>37</v>
      </c>
      <c r="AD3" s="12" t="s">
        <v>38</v>
      </c>
    </row>
    <row r="4" spans="2:30" ht="15">
      <c r="B4" s="3" t="s">
        <v>5</v>
      </c>
      <c r="C4" s="12" t="s">
        <v>25</v>
      </c>
      <c r="E4" s="9" t="s">
        <v>6</v>
      </c>
      <c r="F4" s="4" t="s">
        <v>7</v>
      </c>
      <c r="G4" s="4" t="s">
        <v>7</v>
      </c>
      <c r="H4" s="4" t="s">
        <v>7</v>
      </c>
      <c r="I4" s="4" t="s">
        <v>7</v>
      </c>
      <c r="J4" s="4" t="s">
        <v>7</v>
      </c>
      <c r="K4" s="4" t="s">
        <v>7</v>
      </c>
      <c r="L4" s="4" t="s">
        <v>7</v>
      </c>
      <c r="M4" s="4" t="s">
        <v>7</v>
      </c>
      <c r="N4" s="4" t="s">
        <v>7</v>
      </c>
      <c r="O4" s="4" t="s">
        <v>7</v>
      </c>
      <c r="P4" s="4" t="s">
        <v>7</v>
      </c>
      <c r="Q4" s="4" t="s">
        <v>7</v>
      </c>
      <c r="R4" s="4" t="s">
        <v>7</v>
      </c>
      <c r="S4" s="4" t="s">
        <v>7</v>
      </c>
      <c r="T4" s="4" t="s">
        <v>7</v>
      </c>
      <c r="U4" s="4" t="s">
        <v>7</v>
      </c>
      <c r="V4" s="4" t="s">
        <v>7</v>
      </c>
      <c r="W4" s="12" t="s">
        <v>7</v>
      </c>
      <c r="X4" s="12" t="s">
        <v>7</v>
      </c>
      <c r="Y4" s="4" t="s">
        <v>7</v>
      </c>
      <c r="Z4" s="4" t="s">
        <v>7</v>
      </c>
      <c r="AA4" s="4" t="s">
        <v>7</v>
      </c>
      <c r="AB4" s="4" t="s">
        <v>7</v>
      </c>
      <c r="AC4" s="12" t="s">
        <v>39</v>
      </c>
      <c r="AD4" s="4" t="s">
        <v>7</v>
      </c>
    </row>
    <row r="5" spans="2:30" ht="15">
      <c r="B5" s="3" t="s">
        <v>8</v>
      </c>
      <c r="C5" s="10"/>
      <c r="E5" s="9" t="s">
        <v>9</v>
      </c>
      <c r="F5" s="4" t="s">
        <v>10</v>
      </c>
      <c r="G5" s="4" t="s">
        <v>10</v>
      </c>
      <c r="H5" s="4" t="s">
        <v>10</v>
      </c>
      <c r="I5" s="4" t="s">
        <v>10</v>
      </c>
      <c r="J5" s="4" t="s">
        <v>10</v>
      </c>
      <c r="K5" s="4" t="s">
        <v>10</v>
      </c>
      <c r="L5" s="4" t="s">
        <v>10</v>
      </c>
      <c r="M5" s="4" t="s">
        <v>10</v>
      </c>
      <c r="N5" s="4" t="s">
        <v>10</v>
      </c>
      <c r="O5" s="4" t="s">
        <v>10</v>
      </c>
      <c r="P5" s="4" t="s">
        <v>10</v>
      </c>
      <c r="Q5" s="4" t="s">
        <v>10</v>
      </c>
      <c r="R5" s="4" t="s">
        <v>10</v>
      </c>
      <c r="S5" s="4" t="s">
        <v>10</v>
      </c>
      <c r="T5" s="4" t="s">
        <v>10</v>
      </c>
      <c r="U5" s="4" t="s">
        <v>10</v>
      </c>
      <c r="V5" s="4" t="s">
        <v>10</v>
      </c>
      <c r="W5" s="4" t="s">
        <v>10</v>
      </c>
      <c r="X5" s="4" t="s">
        <v>10</v>
      </c>
      <c r="Y5" s="4" t="s">
        <v>10</v>
      </c>
      <c r="Z5" s="4" t="s">
        <v>10</v>
      </c>
      <c r="AA5" s="4" t="s">
        <v>10</v>
      </c>
      <c r="AB5" s="4" t="s">
        <v>10</v>
      </c>
      <c r="AC5" s="4" t="s">
        <v>10</v>
      </c>
      <c r="AD5" s="4" t="s">
        <v>10</v>
      </c>
    </row>
    <row r="6" spans="2:30" ht="15">
      <c r="B6" s="3" t="s">
        <v>11</v>
      </c>
      <c r="C6" s="11" t="s">
        <v>71</v>
      </c>
    </row>
    <row r="7" spans="2:30" ht="15">
      <c r="B7" s="3" t="s">
        <v>12</v>
      </c>
      <c r="C7" s="10"/>
      <c r="E7" s="8" t="s">
        <v>13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2:30" ht="15">
      <c r="B8" s="3" t="s">
        <v>14</v>
      </c>
      <c r="C8" s="4" t="s">
        <v>15</v>
      </c>
      <c r="E8" s="9" t="s">
        <v>16</v>
      </c>
      <c r="F8" s="3" t="s">
        <v>46</v>
      </c>
      <c r="G8" s="3" t="s">
        <v>47</v>
      </c>
      <c r="H8" s="3" t="s">
        <v>48</v>
      </c>
      <c r="I8" s="3" t="s">
        <v>49</v>
      </c>
      <c r="J8" s="3" t="s">
        <v>50</v>
      </c>
      <c r="K8" s="3" t="s">
        <v>51</v>
      </c>
      <c r="L8" s="3" t="s">
        <v>52</v>
      </c>
      <c r="M8" s="3" t="s">
        <v>53</v>
      </c>
      <c r="N8" s="3" t="s">
        <v>54</v>
      </c>
      <c r="O8" s="3" t="s">
        <v>55</v>
      </c>
      <c r="P8" s="3" t="s">
        <v>56</v>
      </c>
      <c r="Q8" s="3" t="s">
        <v>57</v>
      </c>
      <c r="R8" s="3" t="s">
        <v>58</v>
      </c>
      <c r="S8" s="3" t="s">
        <v>59</v>
      </c>
      <c r="T8" s="3" t="s">
        <v>60</v>
      </c>
      <c r="U8" s="3" t="s">
        <v>61</v>
      </c>
      <c r="V8" s="3" t="s">
        <v>62</v>
      </c>
      <c r="W8" s="3" t="s">
        <v>63</v>
      </c>
      <c r="X8" s="3" t="s">
        <v>64</v>
      </c>
      <c r="Y8" s="3" t="s">
        <v>65</v>
      </c>
      <c r="Z8" s="3" t="s">
        <v>66</v>
      </c>
      <c r="AA8" s="3" t="s">
        <v>67</v>
      </c>
      <c r="AB8" s="3" t="s">
        <v>68</v>
      </c>
      <c r="AC8" s="3" t="s">
        <v>69</v>
      </c>
      <c r="AD8" s="3" t="s">
        <v>70</v>
      </c>
    </row>
    <row r="9" spans="2:30" ht="15">
      <c r="B9" s="3" t="s">
        <v>17</v>
      </c>
      <c r="C9" s="4" t="b">
        <v>1</v>
      </c>
      <c r="E9" s="9">
        <v>34334</v>
      </c>
      <c r="F9" s="5">
        <v>108.03</v>
      </c>
      <c r="G9" s="5">
        <v>214.74969999999999</v>
      </c>
      <c r="H9" s="5">
        <v>259.69639999999998</v>
      </c>
      <c r="I9" s="5">
        <v>591.78</v>
      </c>
      <c r="J9" s="5">
        <v>145.88489999999999</v>
      </c>
      <c r="K9" s="5">
        <v>607.33000000000004</v>
      </c>
      <c r="L9" s="5">
        <v>701.84</v>
      </c>
      <c r="M9" s="5">
        <v>685.09</v>
      </c>
      <c r="N9" s="5">
        <v>706.31</v>
      </c>
      <c r="O9" s="5">
        <v>727.94</v>
      </c>
      <c r="P9" s="5">
        <v>355.6</v>
      </c>
      <c r="Q9" s="5">
        <v>100</v>
      </c>
      <c r="R9" s="5">
        <v>466.45</v>
      </c>
      <c r="S9" s="5">
        <v>598.5</v>
      </c>
      <c r="T9" s="5">
        <v>151.28</v>
      </c>
      <c r="U9" s="5">
        <v>539.34</v>
      </c>
      <c r="V9" s="5">
        <v>1841.5761</v>
      </c>
      <c r="W9" s="5">
        <v>1942.4477999999999</v>
      </c>
      <c r="X9" s="5">
        <v>2489.2093</v>
      </c>
      <c r="Y9" s="5">
        <v>2009.7357999999999</v>
      </c>
      <c r="Z9" s="5">
        <v>3218.8229000000001</v>
      </c>
      <c r="AA9" s="5">
        <v>703.57069999999999</v>
      </c>
      <c r="AB9" s="5">
        <v>6593.29</v>
      </c>
      <c r="AC9" s="5">
        <v>390.7</v>
      </c>
      <c r="AD9" s="5">
        <v>96.694000000000003</v>
      </c>
    </row>
    <row r="10" spans="2:30" ht="15">
      <c r="B10" s="3" t="s">
        <v>18</v>
      </c>
      <c r="C10" s="4" t="s">
        <v>19</v>
      </c>
      <c r="E10" s="9">
        <v>34365</v>
      </c>
      <c r="F10" s="5">
        <v>108.36</v>
      </c>
      <c r="G10" s="5">
        <v>216.05080000000001</v>
      </c>
      <c r="H10" s="5">
        <v>263.26519999999999</v>
      </c>
      <c r="I10" s="5">
        <v>599.77</v>
      </c>
      <c r="J10" s="5">
        <v>146.91159999999999</v>
      </c>
      <c r="K10" s="5">
        <v>613.35</v>
      </c>
      <c r="L10" s="5">
        <v>715.46</v>
      </c>
      <c r="M10" s="5">
        <v>700.19</v>
      </c>
      <c r="N10" s="5">
        <v>717.45</v>
      </c>
      <c r="O10" s="5">
        <v>742.18</v>
      </c>
      <c r="P10" s="5">
        <v>363.32</v>
      </c>
      <c r="Q10" s="5">
        <v>101.07</v>
      </c>
      <c r="R10" s="5">
        <v>481.61</v>
      </c>
      <c r="S10" s="5">
        <v>637.01</v>
      </c>
      <c r="T10" s="5">
        <v>161.05000000000001</v>
      </c>
      <c r="U10" s="5">
        <v>548.88</v>
      </c>
      <c r="V10" s="5">
        <v>1861.0968</v>
      </c>
      <c r="W10" s="5">
        <v>2010.6277</v>
      </c>
      <c r="X10" s="5">
        <v>2547.7057</v>
      </c>
      <c r="Y10" s="5">
        <v>2059.5772000000002</v>
      </c>
      <c r="Z10" s="5">
        <v>3286.74</v>
      </c>
      <c r="AA10" s="5">
        <v>724.61030000000005</v>
      </c>
      <c r="AB10" s="5">
        <v>6892.4</v>
      </c>
      <c r="AC10" s="5">
        <v>381.9</v>
      </c>
      <c r="AD10" s="5">
        <v>100.274</v>
      </c>
    </row>
    <row r="11" spans="2:30" ht="15">
      <c r="E11" s="9">
        <v>34393</v>
      </c>
      <c r="F11" s="5">
        <v>108.51</v>
      </c>
      <c r="G11" s="5">
        <v>214.7842</v>
      </c>
      <c r="H11" s="5">
        <v>257.78899999999999</v>
      </c>
      <c r="I11" s="5">
        <v>589.35</v>
      </c>
      <c r="J11" s="5">
        <v>144.1018</v>
      </c>
      <c r="K11" s="5">
        <v>609.07000000000005</v>
      </c>
      <c r="L11" s="5">
        <v>698.57</v>
      </c>
      <c r="M11" s="5">
        <v>683.28</v>
      </c>
      <c r="N11" s="5">
        <v>702.06</v>
      </c>
      <c r="O11" s="5">
        <v>725.57</v>
      </c>
      <c r="P11" s="5">
        <v>362.37</v>
      </c>
      <c r="Q11" s="5">
        <v>92.55</v>
      </c>
      <c r="R11" s="5">
        <v>467.14</v>
      </c>
      <c r="S11" s="5">
        <v>627.79</v>
      </c>
      <c r="T11" s="5">
        <v>158.47</v>
      </c>
      <c r="U11" s="5">
        <v>538.78</v>
      </c>
      <c r="V11" s="5">
        <v>1809.5444</v>
      </c>
      <c r="W11" s="5">
        <v>2000.7755999999999</v>
      </c>
      <c r="X11" s="5">
        <v>2537.5149000000001</v>
      </c>
      <c r="Y11" s="5">
        <v>2068.6394</v>
      </c>
      <c r="Z11" s="5">
        <v>3076.3887</v>
      </c>
      <c r="AA11" s="5">
        <v>749.55740000000003</v>
      </c>
      <c r="AB11" s="5">
        <v>6821.1</v>
      </c>
      <c r="AC11" s="5">
        <v>381.75</v>
      </c>
      <c r="AD11" s="5">
        <v>99.498000000000005</v>
      </c>
    </row>
    <row r="12" spans="2:30" ht="15">
      <c r="E12" s="9">
        <v>34424</v>
      </c>
      <c r="F12" s="5">
        <v>108.79</v>
      </c>
      <c r="G12" s="5">
        <v>213.68600000000001</v>
      </c>
      <c r="H12" s="5">
        <v>251.83690000000001</v>
      </c>
      <c r="I12" s="5">
        <v>574.82000000000005</v>
      </c>
      <c r="J12" s="5">
        <v>141.40780000000001</v>
      </c>
      <c r="K12" s="5">
        <v>593.21</v>
      </c>
      <c r="L12" s="5">
        <v>677.13</v>
      </c>
      <c r="M12" s="5">
        <v>662.01</v>
      </c>
      <c r="N12" s="5">
        <v>684.38</v>
      </c>
      <c r="O12" s="5">
        <v>701.18</v>
      </c>
      <c r="P12" s="5">
        <v>348.68</v>
      </c>
      <c r="Q12" s="5">
        <v>80.05</v>
      </c>
      <c r="R12" s="5">
        <v>445.77</v>
      </c>
      <c r="S12" s="5">
        <v>599.74</v>
      </c>
      <c r="T12" s="5">
        <v>151.07</v>
      </c>
      <c r="U12" s="5">
        <v>489.21</v>
      </c>
      <c r="V12" s="5">
        <v>1763.4011</v>
      </c>
      <c r="W12" s="5">
        <v>1989.7714000000001</v>
      </c>
      <c r="X12" s="5">
        <v>2484.7345999999998</v>
      </c>
      <c r="Y12" s="5">
        <v>2075.4659000000001</v>
      </c>
      <c r="Z12" s="5">
        <v>2970.8685</v>
      </c>
      <c r="AA12" s="5">
        <v>719.38239999999996</v>
      </c>
      <c r="AB12" s="5">
        <v>6455.17</v>
      </c>
      <c r="AC12" s="5">
        <v>391</v>
      </c>
      <c r="AD12" s="5">
        <v>99.716999999999999</v>
      </c>
    </row>
    <row r="13" spans="2:30" ht="15">
      <c r="E13" s="9">
        <v>34453</v>
      </c>
      <c r="F13" s="5">
        <v>109.02</v>
      </c>
      <c r="G13" s="5">
        <v>212.90719999999999</v>
      </c>
      <c r="H13" s="5">
        <v>249.91470000000001</v>
      </c>
      <c r="I13" s="5">
        <v>570.23</v>
      </c>
      <c r="J13" s="5">
        <v>140.39529999999999</v>
      </c>
      <c r="K13" s="5">
        <v>588.84</v>
      </c>
      <c r="L13" s="5">
        <v>670.61</v>
      </c>
      <c r="M13" s="5">
        <v>655.27</v>
      </c>
      <c r="N13" s="5">
        <v>678.67</v>
      </c>
      <c r="O13" s="5">
        <v>694.2</v>
      </c>
      <c r="P13" s="5">
        <v>346.29</v>
      </c>
      <c r="Q13" s="5">
        <v>78.62</v>
      </c>
      <c r="R13" s="5">
        <v>450.91</v>
      </c>
      <c r="S13" s="5">
        <v>617.29999999999995</v>
      </c>
      <c r="T13" s="5">
        <v>154.9</v>
      </c>
      <c r="U13" s="5">
        <v>478.36</v>
      </c>
      <c r="V13" s="5">
        <v>1759.3452</v>
      </c>
      <c r="W13" s="5">
        <v>1975.8430000000001</v>
      </c>
      <c r="X13" s="5">
        <v>2475.5410999999999</v>
      </c>
      <c r="Y13" s="5">
        <v>2066.7489</v>
      </c>
      <c r="Z13" s="5">
        <v>2935.2181</v>
      </c>
      <c r="AA13" s="5">
        <v>731.04859999999996</v>
      </c>
      <c r="AB13" s="5">
        <v>6368.7</v>
      </c>
      <c r="AC13" s="5">
        <v>377.05</v>
      </c>
      <c r="AD13" s="5">
        <v>101.825</v>
      </c>
    </row>
    <row r="14" spans="2:30" ht="15">
      <c r="E14" s="9">
        <v>34485</v>
      </c>
      <c r="F14" s="5">
        <v>109.35</v>
      </c>
      <c r="G14" s="5">
        <v>213.20750000000001</v>
      </c>
      <c r="H14" s="5">
        <v>249.70930000000001</v>
      </c>
      <c r="I14" s="5">
        <v>570.15</v>
      </c>
      <c r="J14" s="5">
        <v>139.68049999999999</v>
      </c>
      <c r="K14" s="5">
        <v>591.16999999999996</v>
      </c>
      <c r="L14" s="5">
        <v>668.14</v>
      </c>
      <c r="M14" s="5">
        <v>653.59</v>
      </c>
      <c r="N14" s="5">
        <v>679.24</v>
      </c>
      <c r="O14" s="5">
        <v>686.79</v>
      </c>
      <c r="P14" s="5">
        <v>346.47</v>
      </c>
      <c r="Q14" s="5">
        <v>84.27</v>
      </c>
      <c r="R14" s="5">
        <v>456.5</v>
      </c>
      <c r="S14" s="5">
        <v>617.91</v>
      </c>
      <c r="T14" s="5">
        <v>155.54</v>
      </c>
      <c r="U14" s="5">
        <v>493.66</v>
      </c>
      <c r="V14" s="5">
        <v>1763.2157999999999</v>
      </c>
      <c r="W14" s="5">
        <v>1994.4159</v>
      </c>
      <c r="X14" s="5">
        <v>2485.6907999999999</v>
      </c>
      <c r="Y14" s="5">
        <v>2063.8555000000001</v>
      </c>
      <c r="Z14" s="5">
        <v>3001.2604999999999</v>
      </c>
      <c r="AA14" s="5">
        <v>745.91340000000002</v>
      </c>
      <c r="AB14" s="5">
        <v>6319.5</v>
      </c>
      <c r="AC14" s="5">
        <v>387.3</v>
      </c>
      <c r="AD14" s="5">
        <v>107.28700000000001</v>
      </c>
    </row>
    <row r="15" spans="2:30" ht="15">
      <c r="E15" s="9">
        <v>34515</v>
      </c>
      <c r="F15" s="5">
        <v>109.78</v>
      </c>
      <c r="G15" s="5">
        <v>213.7936</v>
      </c>
      <c r="H15" s="5">
        <v>249.226</v>
      </c>
      <c r="I15" s="5">
        <v>568.89</v>
      </c>
      <c r="J15" s="5">
        <v>138.94489999999999</v>
      </c>
      <c r="K15" s="5">
        <v>589.89</v>
      </c>
      <c r="L15" s="5">
        <v>666.5</v>
      </c>
      <c r="M15" s="5">
        <v>652.54999999999995</v>
      </c>
      <c r="N15" s="5">
        <v>679</v>
      </c>
      <c r="O15" s="5">
        <v>682.96</v>
      </c>
      <c r="P15" s="5">
        <v>347.54</v>
      </c>
      <c r="Q15" s="5">
        <v>79.28</v>
      </c>
      <c r="R15" s="5">
        <v>444.27</v>
      </c>
      <c r="S15" s="5">
        <v>615.19000000000005</v>
      </c>
      <c r="T15" s="5">
        <v>154.5</v>
      </c>
      <c r="U15" s="5">
        <v>479.18</v>
      </c>
      <c r="V15" s="5">
        <v>1776.9689000000001</v>
      </c>
      <c r="W15" s="5">
        <v>2016.7534000000001</v>
      </c>
      <c r="X15" s="5">
        <v>2475.4994999999999</v>
      </c>
      <c r="Y15" s="5">
        <v>2068.3959</v>
      </c>
      <c r="Z15" s="5">
        <v>3005.7624000000001</v>
      </c>
      <c r="AA15" s="5">
        <v>729.72080000000005</v>
      </c>
      <c r="AB15" s="5">
        <v>6145.74</v>
      </c>
      <c r="AC15" s="5">
        <v>386.3</v>
      </c>
      <c r="AD15" s="5">
        <v>110.32599999999999</v>
      </c>
    </row>
    <row r="16" spans="2:30" ht="15">
      <c r="E16" s="9">
        <v>34544</v>
      </c>
      <c r="F16" s="5">
        <v>110.25</v>
      </c>
      <c r="G16" s="5">
        <v>215.64840000000001</v>
      </c>
      <c r="H16" s="5">
        <v>253.5196</v>
      </c>
      <c r="I16" s="5">
        <v>580.19000000000005</v>
      </c>
      <c r="J16" s="5">
        <v>141.05510000000001</v>
      </c>
      <c r="K16" s="5">
        <v>601.70000000000005</v>
      </c>
      <c r="L16" s="5">
        <v>683.33</v>
      </c>
      <c r="M16" s="5">
        <v>670.32</v>
      </c>
      <c r="N16" s="5">
        <v>692.27</v>
      </c>
      <c r="O16" s="5">
        <v>703.13</v>
      </c>
      <c r="P16" s="5">
        <v>350.49</v>
      </c>
      <c r="Q16" s="5">
        <v>80.959999999999994</v>
      </c>
      <c r="R16" s="5">
        <v>458.26</v>
      </c>
      <c r="S16" s="5">
        <v>625.89</v>
      </c>
      <c r="T16" s="5">
        <v>157.66</v>
      </c>
      <c r="U16" s="5">
        <v>508.73</v>
      </c>
      <c r="V16" s="5">
        <v>1784.9652000000001</v>
      </c>
      <c r="W16" s="5">
        <v>2048.2147</v>
      </c>
      <c r="X16" s="5">
        <v>2498.0264999999999</v>
      </c>
      <c r="Y16" s="5">
        <v>2090.7345999999998</v>
      </c>
      <c r="Z16" s="5">
        <v>3027.1033000000002</v>
      </c>
      <c r="AA16" s="5">
        <v>727.87490000000003</v>
      </c>
      <c r="AB16" s="5">
        <v>6205.48</v>
      </c>
      <c r="AC16" s="5">
        <v>383.6</v>
      </c>
      <c r="AD16" s="5">
        <v>111.82599999999999</v>
      </c>
    </row>
    <row r="17" spans="5:30" ht="15">
      <c r="E17" s="9">
        <v>34577</v>
      </c>
      <c r="F17" s="5">
        <v>110.64</v>
      </c>
      <c r="G17" s="5">
        <v>216.35980000000001</v>
      </c>
      <c r="H17" s="5">
        <v>253.61949999999999</v>
      </c>
      <c r="I17" s="5">
        <v>580.91</v>
      </c>
      <c r="J17" s="5">
        <v>140.6251</v>
      </c>
      <c r="K17" s="5">
        <v>603.6</v>
      </c>
      <c r="L17" s="5">
        <v>684.1</v>
      </c>
      <c r="M17" s="5">
        <v>670.56</v>
      </c>
      <c r="N17" s="5">
        <v>694.29</v>
      </c>
      <c r="O17" s="5">
        <v>702.34</v>
      </c>
      <c r="P17" s="5">
        <v>352.97</v>
      </c>
      <c r="Q17" s="5">
        <v>87.56</v>
      </c>
      <c r="R17" s="5">
        <v>475.49</v>
      </c>
      <c r="S17" s="5">
        <v>643.74</v>
      </c>
      <c r="T17" s="5">
        <v>163</v>
      </c>
      <c r="U17" s="5">
        <v>571.29999999999995</v>
      </c>
      <c r="V17" s="5">
        <v>1804.2429</v>
      </c>
      <c r="W17" s="5">
        <v>2085.2874000000002</v>
      </c>
      <c r="X17" s="5">
        <v>2529.7514000000001</v>
      </c>
      <c r="Y17" s="5">
        <v>2093.6617000000001</v>
      </c>
      <c r="Z17" s="5">
        <v>3105.808</v>
      </c>
      <c r="AA17" s="5">
        <v>731.90620000000001</v>
      </c>
      <c r="AB17" s="5">
        <v>6425.73</v>
      </c>
      <c r="AC17" s="5">
        <v>386.6</v>
      </c>
      <c r="AD17" s="5">
        <v>108.861</v>
      </c>
    </row>
    <row r="18" spans="5:30" ht="15">
      <c r="E18" s="9">
        <v>34607</v>
      </c>
      <c r="F18" s="5">
        <v>111.01</v>
      </c>
      <c r="G18" s="5">
        <v>215.8493</v>
      </c>
      <c r="H18" s="5">
        <v>250.1105</v>
      </c>
      <c r="I18" s="5">
        <v>572.36</v>
      </c>
      <c r="J18" s="5">
        <v>139.40260000000001</v>
      </c>
      <c r="K18" s="5">
        <v>595.01</v>
      </c>
      <c r="L18" s="5">
        <v>671.35</v>
      </c>
      <c r="M18" s="5">
        <v>657.95</v>
      </c>
      <c r="N18" s="5">
        <v>683.91</v>
      </c>
      <c r="O18" s="5">
        <v>686.45</v>
      </c>
      <c r="P18" s="5">
        <v>352.99</v>
      </c>
      <c r="Q18" s="5">
        <v>89.34</v>
      </c>
      <c r="R18" s="5">
        <v>462.69</v>
      </c>
      <c r="S18" s="5">
        <v>625.80999999999995</v>
      </c>
      <c r="T18" s="5">
        <v>158.88999999999999</v>
      </c>
      <c r="U18" s="5">
        <v>577.29</v>
      </c>
      <c r="V18" s="5">
        <v>1814.7075</v>
      </c>
      <c r="W18" s="5">
        <v>2093.8371000000002</v>
      </c>
      <c r="X18" s="5">
        <v>2563.1442000000002</v>
      </c>
      <c r="Y18" s="5">
        <v>2087.7993999999999</v>
      </c>
      <c r="Z18" s="5">
        <v>3102.0810000000001</v>
      </c>
      <c r="AA18" s="5">
        <v>717.03970000000004</v>
      </c>
      <c r="AB18" s="5">
        <v>6510.81</v>
      </c>
      <c r="AC18" s="5">
        <v>394.25</v>
      </c>
      <c r="AD18" s="5">
        <v>109.02500000000001</v>
      </c>
    </row>
    <row r="19" spans="5:30" ht="15">
      <c r="E19" s="9">
        <v>34638</v>
      </c>
      <c r="F19" s="5">
        <v>111.47</v>
      </c>
      <c r="G19" s="5">
        <v>216.3476</v>
      </c>
      <c r="H19" s="5">
        <v>249.8843</v>
      </c>
      <c r="I19" s="5">
        <v>571.85</v>
      </c>
      <c r="J19" s="5">
        <v>139.57499999999999</v>
      </c>
      <c r="K19" s="5">
        <v>594.66999999999996</v>
      </c>
      <c r="L19" s="5">
        <v>669.81</v>
      </c>
      <c r="M19" s="5">
        <v>656.48</v>
      </c>
      <c r="N19" s="5">
        <v>682.63</v>
      </c>
      <c r="O19" s="5">
        <v>684.6</v>
      </c>
      <c r="P19" s="5">
        <v>353.83</v>
      </c>
      <c r="Q19" s="5">
        <v>86.75</v>
      </c>
      <c r="R19" s="5">
        <v>472.35</v>
      </c>
      <c r="S19" s="5">
        <v>642.57000000000005</v>
      </c>
      <c r="T19" s="5">
        <v>162.68</v>
      </c>
      <c r="U19" s="5">
        <v>566.11</v>
      </c>
      <c r="V19" s="5">
        <v>1821.4219000000001</v>
      </c>
      <c r="W19" s="5">
        <v>2085.4616999999998</v>
      </c>
      <c r="X19" s="5">
        <v>2573.3966999999998</v>
      </c>
      <c r="Y19" s="5">
        <v>2090.5135</v>
      </c>
      <c r="Z19" s="5">
        <v>3098.6687000000002</v>
      </c>
      <c r="AA19" s="5">
        <v>690.43790000000001</v>
      </c>
      <c r="AB19" s="5">
        <v>6543.51</v>
      </c>
      <c r="AC19" s="5">
        <v>384.5</v>
      </c>
      <c r="AD19" s="5">
        <v>109.902</v>
      </c>
    </row>
    <row r="20" spans="5:30" ht="15">
      <c r="E20" s="9">
        <v>34668</v>
      </c>
      <c r="F20" s="5">
        <v>111.82</v>
      </c>
      <c r="G20" s="5">
        <v>215.43870000000001</v>
      </c>
      <c r="H20" s="5">
        <v>249.2834</v>
      </c>
      <c r="I20" s="5">
        <v>570.58000000000004</v>
      </c>
      <c r="J20" s="5">
        <v>140.15</v>
      </c>
      <c r="K20" s="5">
        <v>592.80999999999995</v>
      </c>
      <c r="L20" s="5">
        <v>668.71</v>
      </c>
      <c r="M20" s="5">
        <v>656.27</v>
      </c>
      <c r="N20" s="5">
        <v>677.6</v>
      </c>
      <c r="O20" s="5">
        <v>685.93</v>
      </c>
      <c r="P20" s="5">
        <v>349.37</v>
      </c>
      <c r="Q20" s="5">
        <v>87.13</v>
      </c>
      <c r="R20" s="5">
        <v>453.69</v>
      </c>
      <c r="S20" s="5">
        <v>613.67999999999995</v>
      </c>
      <c r="T20" s="5">
        <v>155.33000000000001</v>
      </c>
      <c r="U20" s="5">
        <v>536</v>
      </c>
      <c r="V20" s="5">
        <v>1797.9255000000001</v>
      </c>
      <c r="W20" s="5">
        <v>2058.9764</v>
      </c>
      <c r="X20" s="5">
        <v>2535.3105</v>
      </c>
      <c r="Y20" s="5">
        <v>2091.3497000000002</v>
      </c>
      <c r="Z20" s="5">
        <v>3110.7534999999998</v>
      </c>
      <c r="AA20" s="5">
        <v>668.00490000000002</v>
      </c>
      <c r="AB20" s="5">
        <v>6282.29</v>
      </c>
      <c r="AC20" s="5">
        <v>381.4</v>
      </c>
      <c r="AD20" s="5">
        <v>109.66</v>
      </c>
    </row>
    <row r="21" spans="5:30" ht="15">
      <c r="E21" s="9">
        <v>34698</v>
      </c>
      <c r="F21" s="5">
        <v>112.35</v>
      </c>
      <c r="G21" s="5">
        <v>215.91300000000001</v>
      </c>
      <c r="H21" s="5">
        <v>250.96850000000001</v>
      </c>
      <c r="I21" s="5">
        <v>574.52</v>
      </c>
      <c r="J21" s="5">
        <v>140.66159999999999</v>
      </c>
      <c r="K21" s="5">
        <v>597.54</v>
      </c>
      <c r="L21" s="5">
        <v>674.24</v>
      </c>
      <c r="M21" s="5">
        <v>661.73</v>
      </c>
      <c r="N21" s="5">
        <v>681.56</v>
      </c>
      <c r="O21" s="5">
        <v>693.6</v>
      </c>
      <c r="P21" s="5">
        <v>351.94</v>
      </c>
      <c r="Q21" s="5">
        <v>81.650000000000006</v>
      </c>
      <c r="R21" s="5">
        <v>459.27</v>
      </c>
      <c r="S21" s="5">
        <v>618.59</v>
      </c>
      <c r="T21" s="5">
        <v>155.6</v>
      </c>
      <c r="U21" s="5">
        <v>492.58</v>
      </c>
      <c r="V21" s="5">
        <v>1784.2612999999999</v>
      </c>
      <c r="W21" s="5">
        <v>2058.9764</v>
      </c>
      <c r="X21" s="5">
        <v>2554.0718000000002</v>
      </c>
      <c r="Y21" s="5">
        <v>2090.0949000000001</v>
      </c>
      <c r="Z21" s="5">
        <v>3080.2682</v>
      </c>
      <c r="AA21" s="5">
        <v>709.23829999999998</v>
      </c>
      <c r="AB21" s="5">
        <v>6218.1</v>
      </c>
      <c r="AC21" s="5">
        <v>383.2</v>
      </c>
      <c r="AD21" s="5">
        <v>112.755</v>
      </c>
    </row>
    <row r="22" spans="5:30" ht="15">
      <c r="E22" s="9">
        <v>34730</v>
      </c>
      <c r="F22" s="5">
        <v>112.99</v>
      </c>
      <c r="G22" s="5">
        <v>218.86680000000001</v>
      </c>
      <c r="H22" s="5">
        <v>255.863</v>
      </c>
      <c r="I22" s="5">
        <v>585.89</v>
      </c>
      <c r="J22" s="5">
        <v>142.9162</v>
      </c>
      <c r="K22" s="5">
        <v>610.33000000000004</v>
      </c>
      <c r="L22" s="5">
        <v>688.54</v>
      </c>
      <c r="M22" s="5">
        <v>676.64</v>
      </c>
      <c r="N22" s="5">
        <v>694.59</v>
      </c>
      <c r="O22" s="5">
        <v>709.87</v>
      </c>
      <c r="P22" s="5">
        <v>356.71</v>
      </c>
      <c r="Q22" s="5">
        <v>77.91</v>
      </c>
      <c r="R22" s="5">
        <v>470.42</v>
      </c>
      <c r="S22" s="5">
        <v>608.26</v>
      </c>
      <c r="T22" s="5">
        <v>152.15</v>
      </c>
      <c r="U22" s="5">
        <v>439.84</v>
      </c>
      <c r="V22" s="5">
        <v>1754.9993999999999</v>
      </c>
      <c r="W22" s="5">
        <v>2100.9794999999999</v>
      </c>
      <c r="X22" s="5">
        <v>2561.7339999999999</v>
      </c>
      <c r="Y22" s="5">
        <v>2116.8481000000002</v>
      </c>
      <c r="Z22" s="5">
        <v>3053.4697999999999</v>
      </c>
      <c r="AA22" s="5">
        <v>698.71259999999995</v>
      </c>
      <c r="AB22" s="5">
        <v>6365.97</v>
      </c>
      <c r="AC22" s="5">
        <v>375.1</v>
      </c>
      <c r="AD22" s="5">
        <v>112.10899999999999</v>
      </c>
    </row>
    <row r="23" spans="5:30" ht="15">
      <c r="E23" s="9">
        <v>34758</v>
      </c>
      <c r="F23" s="5">
        <v>113.61</v>
      </c>
      <c r="G23" s="5">
        <v>221.78639999999999</v>
      </c>
      <c r="H23" s="5">
        <v>261.18880000000001</v>
      </c>
      <c r="I23" s="5">
        <v>599.82000000000005</v>
      </c>
      <c r="J23" s="5">
        <v>145.61859999999999</v>
      </c>
      <c r="K23" s="5">
        <v>625.91</v>
      </c>
      <c r="L23" s="5">
        <v>708.39</v>
      </c>
      <c r="M23" s="5">
        <v>696.09</v>
      </c>
      <c r="N23" s="5">
        <v>713.65</v>
      </c>
      <c r="O23" s="5">
        <v>731.02</v>
      </c>
      <c r="P23" s="5">
        <v>368.94</v>
      </c>
      <c r="Q23" s="5">
        <v>74.180000000000007</v>
      </c>
      <c r="R23" s="5">
        <v>487.39</v>
      </c>
      <c r="S23" s="5">
        <v>616.07000000000005</v>
      </c>
      <c r="T23" s="5">
        <v>153.49</v>
      </c>
      <c r="U23" s="5">
        <v>428.11</v>
      </c>
      <c r="V23" s="5">
        <v>1755.7013999999999</v>
      </c>
      <c r="W23" s="5">
        <v>2127.6619000000001</v>
      </c>
      <c r="X23" s="5">
        <v>2604.7710999999999</v>
      </c>
      <c r="Y23" s="5">
        <v>2139.9218000000001</v>
      </c>
      <c r="Z23" s="5">
        <v>3097.7451000000001</v>
      </c>
      <c r="AA23" s="5">
        <v>721.39260000000002</v>
      </c>
      <c r="AB23" s="5">
        <v>6537.17</v>
      </c>
      <c r="AC23" s="5">
        <v>377.1</v>
      </c>
      <c r="AD23" s="5">
        <v>111.96299999999999</v>
      </c>
    </row>
    <row r="24" spans="5:30" ht="15">
      <c r="E24" s="9">
        <v>34789</v>
      </c>
      <c r="F24" s="5">
        <v>114.2</v>
      </c>
      <c r="G24" s="5">
        <v>223.00380000000001</v>
      </c>
      <c r="H24" s="5">
        <v>262.72989999999999</v>
      </c>
      <c r="I24" s="5">
        <v>603.5</v>
      </c>
      <c r="J24" s="5">
        <v>147.1737</v>
      </c>
      <c r="K24" s="5">
        <v>628.86</v>
      </c>
      <c r="L24" s="5">
        <v>714.17</v>
      </c>
      <c r="M24" s="5">
        <v>702.25</v>
      </c>
      <c r="N24" s="5">
        <v>718.83</v>
      </c>
      <c r="O24" s="5">
        <v>737.02</v>
      </c>
      <c r="P24" s="5">
        <v>372.91</v>
      </c>
      <c r="Q24" s="5">
        <v>73</v>
      </c>
      <c r="R24" s="5">
        <v>500.71</v>
      </c>
      <c r="S24" s="5">
        <v>644.66999999999996</v>
      </c>
      <c r="T24" s="5">
        <v>160.21</v>
      </c>
      <c r="U24" s="5">
        <v>429.8</v>
      </c>
      <c r="V24" s="5">
        <v>1774.1362999999999</v>
      </c>
      <c r="W24" s="5">
        <v>2142.3427999999999</v>
      </c>
      <c r="X24" s="5">
        <v>2659.2107999999998</v>
      </c>
      <c r="Y24" s="5">
        <v>2153.4032999999999</v>
      </c>
      <c r="Z24" s="5">
        <v>3141.1136000000001</v>
      </c>
      <c r="AA24" s="5">
        <v>717.0865</v>
      </c>
      <c r="AB24" s="5">
        <v>6683.41</v>
      </c>
      <c r="AC24" s="5">
        <v>391.4</v>
      </c>
      <c r="AD24" s="5">
        <v>114.736</v>
      </c>
    </row>
    <row r="25" spans="5:30" ht="15">
      <c r="E25" s="9">
        <v>34817</v>
      </c>
      <c r="F25" s="5">
        <v>114.8</v>
      </c>
      <c r="G25" s="5">
        <v>224.9588</v>
      </c>
      <c r="H25" s="5">
        <v>266.1035</v>
      </c>
      <c r="I25" s="5">
        <v>611.92999999999995</v>
      </c>
      <c r="J25" s="5">
        <v>149.3535</v>
      </c>
      <c r="K25" s="5">
        <v>637.79999999999995</v>
      </c>
      <c r="L25" s="5">
        <v>726.22</v>
      </c>
      <c r="M25" s="5">
        <v>713.76</v>
      </c>
      <c r="N25" s="5">
        <v>730.51</v>
      </c>
      <c r="O25" s="5">
        <v>749</v>
      </c>
      <c r="P25" s="5">
        <v>382.4</v>
      </c>
      <c r="Q25" s="5">
        <v>80.38</v>
      </c>
      <c r="R25" s="5">
        <v>514.71</v>
      </c>
      <c r="S25" s="5">
        <v>666.04</v>
      </c>
      <c r="T25" s="5">
        <v>165.73</v>
      </c>
      <c r="U25" s="5">
        <v>448.29</v>
      </c>
      <c r="V25" s="5">
        <v>1797.7322999999999</v>
      </c>
      <c r="W25" s="5">
        <v>2187.5462000000002</v>
      </c>
      <c r="X25" s="5">
        <v>2729.4140000000002</v>
      </c>
      <c r="Y25" s="5">
        <v>2187.2116999999998</v>
      </c>
      <c r="Z25" s="5">
        <v>3165.6143000000002</v>
      </c>
      <c r="AA25" s="5">
        <v>718.71280000000002</v>
      </c>
      <c r="AB25" s="5">
        <v>6869.23</v>
      </c>
      <c r="AC25" s="5">
        <v>387.1</v>
      </c>
      <c r="AD25" s="5">
        <v>117.02800000000001</v>
      </c>
    </row>
    <row r="26" spans="5:30" ht="15">
      <c r="E26" s="9">
        <v>34850</v>
      </c>
      <c r="F26" s="5">
        <v>115.44</v>
      </c>
      <c r="G26" s="5">
        <v>228.77869999999999</v>
      </c>
      <c r="H26" s="5">
        <v>276.9384</v>
      </c>
      <c r="I26" s="5">
        <v>635.61</v>
      </c>
      <c r="J26" s="5">
        <v>154.55869999999999</v>
      </c>
      <c r="K26" s="5">
        <v>657.91</v>
      </c>
      <c r="L26" s="5">
        <v>760.45</v>
      </c>
      <c r="M26" s="5">
        <v>747.87</v>
      </c>
      <c r="N26" s="5">
        <v>759.41</v>
      </c>
      <c r="O26" s="5">
        <v>787.64</v>
      </c>
      <c r="P26" s="5">
        <v>393.12</v>
      </c>
      <c r="Q26" s="5">
        <v>87.66</v>
      </c>
      <c r="R26" s="5">
        <v>533.4</v>
      </c>
      <c r="S26" s="5">
        <v>670.63</v>
      </c>
      <c r="T26" s="5">
        <v>167.24</v>
      </c>
      <c r="U26" s="5">
        <v>470.95</v>
      </c>
      <c r="V26" s="5">
        <v>1812.1142</v>
      </c>
      <c r="W26" s="5">
        <v>2227.7970999999998</v>
      </c>
      <c r="X26" s="5">
        <v>2762.7127999999998</v>
      </c>
      <c r="Y26" s="5">
        <v>2203.8344999999999</v>
      </c>
      <c r="Z26" s="5">
        <v>3246.0209</v>
      </c>
      <c r="AA26" s="5">
        <v>751.06870000000004</v>
      </c>
      <c r="AB26" s="5">
        <v>7022.64</v>
      </c>
      <c r="AC26" s="5">
        <v>384.3</v>
      </c>
      <c r="AD26" s="5">
        <v>116.22799999999999</v>
      </c>
    </row>
    <row r="27" spans="5:30" ht="15">
      <c r="E27" s="9">
        <v>34880</v>
      </c>
      <c r="F27" s="5">
        <v>116.05</v>
      </c>
      <c r="G27" s="5">
        <v>230.00890000000001</v>
      </c>
      <c r="H27" s="5">
        <v>279.05650000000003</v>
      </c>
      <c r="I27" s="5">
        <v>640.27</v>
      </c>
      <c r="J27" s="5">
        <v>155.00489999999999</v>
      </c>
      <c r="K27" s="5">
        <v>661.65</v>
      </c>
      <c r="L27" s="5">
        <v>767.3</v>
      </c>
      <c r="M27" s="5">
        <v>755.39</v>
      </c>
      <c r="N27" s="5">
        <v>765.63</v>
      </c>
      <c r="O27" s="5">
        <v>795.27</v>
      </c>
      <c r="P27" s="5">
        <v>395.62</v>
      </c>
      <c r="Q27" s="5">
        <v>88.61</v>
      </c>
      <c r="R27" s="5">
        <v>544.75</v>
      </c>
      <c r="S27" s="5">
        <v>669.32</v>
      </c>
      <c r="T27" s="5">
        <v>166.97</v>
      </c>
      <c r="U27" s="5">
        <v>471.38</v>
      </c>
      <c r="V27" s="5">
        <v>1822.6243999999999</v>
      </c>
      <c r="W27" s="5">
        <v>2260.7685000000001</v>
      </c>
      <c r="X27" s="5">
        <v>2893.3890999999999</v>
      </c>
      <c r="Y27" s="5">
        <v>2241.7404999999999</v>
      </c>
      <c r="Z27" s="5">
        <v>3261.2772</v>
      </c>
      <c r="AA27" s="5">
        <v>764.39430000000004</v>
      </c>
      <c r="AB27" s="5">
        <v>7461.27</v>
      </c>
      <c r="AC27" s="5">
        <v>384.6</v>
      </c>
      <c r="AD27" s="5">
        <v>115.07899999999999</v>
      </c>
    </row>
    <row r="28" spans="5:30" ht="15">
      <c r="E28" s="9">
        <v>34911</v>
      </c>
      <c r="F28" s="5">
        <v>116.6</v>
      </c>
      <c r="G28" s="5">
        <v>230.95760000000001</v>
      </c>
      <c r="H28" s="5">
        <v>278.09859999999998</v>
      </c>
      <c r="I28" s="5">
        <v>638.84</v>
      </c>
      <c r="J28" s="5">
        <v>155.6669</v>
      </c>
      <c r="K28" s="5">
        <v>662.79</v>
      </c>
      <c r="L28" s="5">
        <v>763.91</v>
      </c>
      <c r="M28" s="5">
        <v>752.32</v>
      </c>
      <c r="N28" s="5">
        <v>764.27</v>
      </c>
      <c r="O28" s="5">
        <v>789.78</v>
      </c>
      <c r="P28" s="5">
        <v>400.62</v>
      </c>
      <c r="Q28" s="5">
        <v>88.64</v>
      </c>
      <c r="R28" s="5">
        <v>562.05999999999995</v>
      </c>
      <c r="S28" s="5">
        <v>701.69</v>
      </c>
      <c r="T28" s="5">
        <v>174.74</v>
      </c>
      <c r="U28" s="5">
        <v>481.28</v>
      </c>
      <c r="V28" s="5">
        <v>1844.1314</v>
      </c>
      <c r="W28" s="5">
        <v>2305.5317</v>
      </c>
      <c r="X28" s="5">
        <v>3022.4342999999999</v>
      </c>
      <c r="Y28" s="5">
        <v>2268.1930000000002</v>
      </c>
      <c r="Z28" s="5">
        <v>3389.4454000000001</v>
      </c>
      <c r="AA28" s="5">
        <v>776.33640000000003</v>
      </c>
      <c r="AB28" s="5">
        <v>7973.6</v>
      </c>
      <c r="AC28" s="5">
        <v>382.6</v>
      </c>
      <c r="AD28" s="5">
        <v>117.31399999999999</v>
      </c>
    </row>
    <row r="29" spans="5:30" ht="15">
      <c r="E29" s="9">
        <v>34942</v>
      </c>
      <c r="F29" s="5">
        <v>117.17</v>
      </c>
      <c r="G29" s="5">
        <v>232.2929</v>
      </c>
      <c r="H29" s="5">
        <v>281.2097</v>
      </c>
      <c r="I29" s="5">
        <v>646.54999999999995</v>
      </c>
      <c r="J29" s="5">
        <v>157.37049999999999</v>
      </c>
      <c r="K29" s="5">
        <v>669.65</v>
      </c>
      <c r="L29" s="5">
        <v>776.22</v>
      </c>
      <c r="M29" s="5">
        <v>764.58</v>
      </c>
      <c r="N29" s="5">
        <v>774.55</v>
      </c>
      <c r="O29" s="5">
        <v>804.29</v>
      </c>
      <c r="P29" s="5">
        <v>401.87</v>
      </c>
      <c r="Q29" s="5">
        <v>91.11</v>
      </c>
      <c r="R29" s="5">
        <v>561.88</v>
      </c>
      <c r="S29" s="5">
        <v>684.96</v>
      </c>
      <c r="T29" s="5">
        <v>170.61</v>
      </c>
      <c r="U29" s="5">
        <v>469.28</v>
      </c>
      <c r="V29" s="5">
        <v>1882.4893</v>
      </c>
      <c r="W29" s="5">
        <v>2354.8701000000001</v>
      </c>
      <c r="X29" s="5">
        <v>3110.9915999999998</v>
      </c>
      <c r="Y29" s="5">
        <v>2298.5868</v>
      </c>
      <c r="Z29" s="5">
        <v>3578.9153999999999</v>
      </c>
      <c r="AA29" s="5">
        <v>787.88959999999997</v>
      </c>
      <c r="AB29" s="5">
        <v>8256.44</v>
      </c>
      <c r="AC29" s="5">
        <v>382.75</v>
      </c>
      <c r="AD29" s="5">
        <v>119.31699999999999</v>
      </c>
    </row>
    <row r="30" spans="5:30" ht="15">
      <c r="E30" s="9">
        <v>34971</v>
      </c>
      <c r="F30" s="5">
        <v>117.7</v>
      </c>
      <c r="G30" s="5">
        <v>233.34690000000001</v>
      </c>
      <c r="H30" s="5">
        <v>283.7398</v>
      </c>
      <c r="I30" s="5">
        <v>652.84</v>
      </c>
      <c r="J30" s="5">
        <v>159.13159999999999</v>
      </c>
      <c r="K30" s="5">
        <v>675.54</v>
      </c>
      <c r="L30" s="5">
        <v>785.42</v>
      </c>
      <c r="M30" s="5">
        <v>774.01</v>
      </c>
      <c r="N30" s="5">
        <v>782.71</v>
      </c>
      <c r="O30" s="5">
        <v>813.47</v>
      </c>
      <c r="P30" s="5">
        <v>406.81</v>
      </c>
      <c r="Q30" s="5">
        <v>94.32</v>
      </c>
      <c r="R30" s="5">
        <v>584.41</v>
      </c>
      <c r="S30" s="5">
        <v>703.8</v>
      </c>
      <c r="T30" s="5">
        <v>175</v>
      </c>
      <c r="U30" s="5">
        <v>466.41</v>
      </c>
      <c r="V30" s="5">
        <v>1883.8071</v>
      </c>
      <c r="W30" s="5">
        <v>2398.4351999999999</v>
      </c>
      <c r="X30" s="5">
        <v>3201.2103999999999</v>
      </c>
      <c r="Y30" s="5">
        <v>2330.7669999999998</v>
      </c>
      <c r="Z30" s="5">
        <v>3694.1563999999998</v>
      </c>
      <c r="AA30" s="5">
        <v>802.30719999999997</v>
      </c>
      <c r="AB30" s="5">
        <v>8560.5300000000007</v>
      </c>
      <c r="AC30" s="5">
        <v>384</v>
      </c>
      <c r="AD30" s="5">
        <v>120.453</v>
      </c>
    </row>
    <row r="31" spans="5:30" ht="15">
      <c r="E31" s="9">
        <v>35003</v>
      </c>
      <c r="F31" s="5">
        <v>118.27</v>
      </c>
      <c r="G31" s="5">
        <v>235.30170000000001</v>
      </c>
      <c r="H31" s="5">
        <v>288.1585</v>
      </c>
      <c r="I31" s="5">
        <v>661.33</v>
      </c>
      <c r="J31" s="5">
        <v>161.05600000000001</v>
      </c>
      <c r="K31" s="5">
        <v>681.55</v>
      </c>
      <c r="L31" s="5">
        <v>795.64</v>
      </c>
      <c r="M31" s="5">
        <v>784.14</v>
      </c>
      <c r="N31" s="5">
        <v>792.87</v>
      </c>
      <c r="O31" s="5">
        <v>822.35</v>
      </c>
      <c r="P31" s="5">
        <v>409.32</v>
      </c>
      <c r="Q31" s="5">
        <v>93.41</v>
      </c>
      <c r="R31" s="5">
        <v>581.5</v>
      </c>
      <c r="S31" s="5">
        <v>691.6</v>
      </c>
      <c r="T31" s="5">
        <v>171.78</v>
      </c>
      <c r="U31" s="5">
        <v>448.11</v>
      </c>
      <c r="V31" s="5">
        <v>1863.2736</v>
      </c>
      <c r="W31" s="5">
        <v>2400.5938000000001</v>
      </c>
      <c r="X31" s="5">
        <v>3155.1129999999998</v>
      </c>
      <c r="Y31" s="5">
        <v>2339.1578</v>
      </c>
      <c r="Z31" s="5">
        <v>3709.3024999999998</v>
      </c>
      <c r="AA31" s="5">
        <v>787.54589999999996</v>
      </c>
      <c r="AB31" s="5">
        <v>8148.97</v>
      </c>
      <c r="AC31" s="5">
        <v>383</v>
      </c>
      <c r="AD31" s="5">
        <v>121.48099999999999</v>
      </c>
    </row>
    <row r="32" spans="5:30" ht="15">
      <c r="E32" s="9">
        <v>35033</v>
      </c>
      <c r="F32" s="5">
        <v>118.82</v>
      </c>
      <c r="G32" s="5">
        <v>237.33680000000001</v>
      </c>
      <c r="H32" s="5">
        <v>292.83159999999998</v>
      </c>
      <c r="I32" s="5">
        <v>671.24</v>
      </c>
      <c r="J32" s="5">
        <v>163.89500000000001</v>
      </c>
      <c r="K32" s="5">
        <v>689.34</v>
      </c>
      <c r="L32" s="5">
        <v>810.87</v>
      </c>
      <c r="M32" s="5">
        <v>799.25</v>
      </c>
      <c r="N32" s="5">
        <v>806.79</v>
      </c>
      <c r="O32" s="5">
        <v>838.1</v>
      </c>
      <c r="P32" s="5">
        <v>412.93</v>
      </c>
      <c r="Q32" s="5">
        <v>96.56</v>
      </c>
      <c r="R32" s="5">
        <v>605.37</v>
      </c>
      <c r="S32" s="5">
        <v>714.51</v>
      </c>
      <c r="T32" s="5">
        <v>176.88</v>
      </c>
      <c r="U32" s="5">
        <v>439.69</v>
      </c>
      <c r="V32" s="5">
        <v>1876.1302000000001</v>
      </c>
      <c r="W32" s="5">
        <v>2520.8634999999999</v>
      </c>
      <c r="X32" s="5">
        <v>3263.3332999999998</v>
      </c>
      <c r="Y32" s="5">
        <v>2378.4555999999998</v>
      </c>
      <c r="Z32" s="5">
        <v>3843.9501</v>
      </c>
      <c r="AA32" s="5">
        <v>795.44579999999996</v>
      </c>
      <c r="AB32" s="5">
        <v>8316.2999999999993</v>
      </c>
      <c r="AC32" s="5">
        <v>387.8</v>
      </c>
      <c r="AD32" s="5">
        <v>123.379</v>
      </c>
    </row>
    <row r="33" spans="5:30" ht="15">
      <c r="E33" s="9">
        <v>35062</v>
      </c>
      <c r="F33" s="5">
        <v>119.47</v>
      </c>
      <c r="G33" s="5">
        <v>239.11949999999999</v>
      </c>
      <c r="H33" s="5">
        <v>296.90530000000001</v>
      </c>
      <c r="I33" s="5">
        <v>680.66</v>
      </c>
      <c r="J33" s="5">
        <v>165.99109999999999</v>
      </c>
      <c r="K33" s="5">
        <v>697.95</v>
      </c>
      <c r="L33" s="5">
        <v>824.23</v>
      </c>
      <c r="M33" s="5">
        <v>813.39</v>
      </c>
      <c r="N33" s="5">
        <v>818.22</v>
      </c>
      <c r="O33" s="5">
        <v>851.79</v>
      </c>
      <c r="P33" s="5">
        <v>419.42</v>
      </c>
      <c r="Q33" s="5">
        <v>103.19</v>
      </c>
      <c r="R33" s="5">
        <v>615.92999999999995</v>
      </c>
      <c r="S33" s="5">
        <v>734.28</v>
      </c>
      <c r="T33" s="5">
        <v>181.9</v>
      </c>
      <c r="U33" s="5">
        <v>458.37</v>
      </c>
      <c r="V33" s="5">
        <v>1922.6582000000001</v>
      </c>
      <c r="W33" s="5">
        <v>2576.0704000000001</v>
      </c>
      <c r="X33" s="5">
        <v>3346.8746999999998</v>
      </c>
      <c r="Y33" s="5">
        <v>2417.4623000000001</v>
      </c>
      <c r="Z33" s="5">
        <v>3983.4854999999998</v>
      </c>
      <c r="AA33" s="5">
        <v>839.09270000000004</v>
      </c>
      <c r="AB33" s="5">
        <v>8482.8700000000008</v>
      </c>
      <c r="AC33" s="5">
        <v>387.1</v>
      </c>
      <c r="AD33" s="5">
        <v>129.90799999999999</v>
      </c>
    </row>
    <row r="34" spans="5:30" ht="15">
      <c r="E34" s="9">
        <v>35095</v>
      </c>
      <c r="F34" s="5">
        <v>120.02</v>
      </c>
      <c r="G34" s="5">
        <v>241.11709999999999</v>
      </c>
      <c r="H34" s="5">
        <v>298.82580000000002</v>
      </c>
      <c r="I34" s="5">
        <v>685.17</v>
      </c>
      <c r="J34" s="5">
        <v>167.51140000000001</v>
      </c>
      <c r="K34" s="5">
        <v>703.21</v>
      </c>
      <c r="L34" s="5">
        <v>829.55</v>
      </c>
      <c r="M34" s="5">
        <v>817.03</v>
      </c>
      <c r="N34" s="5">
        <v>826.08</v>
      </c>
      <c r="O34" s="5">
        <v>855.97</v>
      </c>
      <c r="P34" s="5">
        <v>426.8</v>
      </c>
      <c r="Q34" s="5">
        <v>111.99</v>
      </c>
      <c r="R34" s="5">
        <v>636.02</v>
      </c>
      <c r="S34" s="5">
        <v>746.45</v>
      </c>
      <c r="T34" s="5">
        <v>185.64</v>
      </c>
      <c r="U34" s="5">
        <v>490.52</v>
      </c>
      <c r="V34" s="5">
        <v>1965.5335</v>
      </c>
      <c r="W34" s="5">
        <v>2676.2795999999998</v>
      </c>
      <c r="X34" s="5">
        <v>3382.3515000000002</v>
      </c>
      <c r="Y34" s="5">
        <v>2452.7573000000002</v>
      </c>
      <c r="Z34" s="5">
        <v>4193.8136000000004</v>
      </c>
      <c r="AA34" s="5">
        <v>855.16200000000003</v>
      </c>
      <c r="AB34" s="5">
        <v>8584.31</v>
      </c>
      <c r="AC34" s="5">
        <v>406.3</v>
      </c>
      <c r="AD34" s="5">
        <v>130.84200000000001</v>
      </c>
    </row>
    <row r="35" spans="5:30" ht="15">
      <c r="E35" s="9">
        <v>35124</v>
      </c>
      <c r="F35" s="5">
        <v>120.46</v>
      </c>
      <c r="G35" s="5">
        <v>240.3081</v>
      </c>
      <c r="H35" s="5">
        <v>292.89940000000001</v>
      </c>
      <c r="I35" s="5">
        <v>673.27</v>
      </c>
      <c r="J35" s="5">
        <v>165.01499999999999</v>
      </c>
      <c r="K35" s="5">
        <v>697.37</v>
      </c>
      <c r="L35" s="5">
        <v>809.84</v>
      </c>
      <c r="M35" s="5">
        <v>796.29</v>
      </c>
      <c r="N35" s="5">
        <v>811.67</v>
      </c>
      <c r="O35" s="5">
        <v>832.98</v>
      </c>
      <c r="P35" s="5">
        <v>427.14</v>
      </c>
      <c r="Q35" s="5">
        <v>105.56</v>
      </c>
      <c r="R35" s="5">
        <v>640.42999999999995</v>
      </c>
      <c r="S35" s="5">
        <v>749.86</v>
      </c>
      <c r="T35" s="5">
        <v>186.09</v>
      </c>
      <c r="U35" s="5">
        <v>481.92</v>
      </c>
      <c r="V35" s="5">
        <v>1958.8507</v>
      </c>
      <c r="W35" s="5">
        <v>2715.0855999999999</v>
      </c>
      <c r="X35" s="5">
        <v>3477.7338</v>
      </c>
      <c r="Y35" s="5">
        <v>2487.8317000000002</v>
      </c>
      <c r="Z35" s="5">
        <v>4035.7067999999999</v>
      </c>
      <c r="AA35" s="5">
        <v>861.75220000000002</v>
      </c>
      <c r="AB35" s="5">
        <v>8835.9599999999991</v>
      </c>
      <c r="AC35" s="5">
        <v>400.75</v>
      </c>
      <c r="AD35" s="5">
        <v>133.63399999999999</v>
      </c>
    </row>
    <row r="36" spans="5:30" ht="15">
      <c r="E36" s="9">
        <v>35153</v>
      </c>
      <c r="F36" s="5">
        <v>120.93</v>
      </c>
      <c r="G36" s="5">
        <v>240.13069999999999</v>
      </c>
      <c r="H36" s="5">
        <v>290.30759999999998</v>
      </c>
      <c r="I36" s="5">
        <v>668.59</v>
      </c>
      <c r="J36" s="5">
        <v>164.83420000000001</v>
      </c>
      <c r="K36" s="5">
        <v>694.85</v>
      </c>
      <c r="L36" s="5">
        <v>802.94</v>
      </c>
      <c r="M36" s="5">
        <v>789.06</v>
      </c>
      <c r="N36" s="5">
        <v>805.3</v>
      </c>
      <c r="O36" s="5">
        <v>826.95</v>
      </c>
      <c r="P36" s="5">
        <v>426.85</v>
      </c>
      <c r="Q36" s="5">
        <v>107.93</v>
      </c>
      <c r="R36" s="5">
        <v>645.5</v>
      </c>
      <c r="S36" s="5">
        <v>761.18</v>
      </c>
      <c r="T36" s="5">
        <v>188.64</v>
      </c>
      <c r="U36" s="5">
        <v>484.8</v>
      </c>
      <c r="V36" s="5">
        <v>1979.4186</v>
      </c>
      <c r="W36" s="5">
        <v>2766.1291999999999</v>
      </c>
      <c r="X36" s="5">
        <v>3543.8108000000002</v>
      </c>
      <c r="Y36" s="5">
        <v>2516.4418000000001</v>
      </c>
      <c r="Z36" s="5">
        <v>4050.6388999999999</v>
      </c>
      <c r="AA36" s="5">
        <v>860.51499999999999</v>
      </c>
      <c r="AB36" s="5">
        <v>9095.49</v>
      </c>
      <c r="AC36" s="5">
        <v>395.45</v>
      </c>
      <c r="AD36" s="5">
        <v>139.99100000000001</v>
      </c>
    </row>
    <row r="37" spans="5:30" ht="15">
      <c r="E37" s="9">
        <v>35185</v>
      </c>
      <c r="F37" s="5">
        <v>121.44</v>
      </c>
      <c r="G37" s="5">
        <v>240.28919999999999</v>
      </c>
      <c r="H37" s="5">
        <v>288.0351</v>
      </c>
      <c r="I37" s="5">
        <v>664.83</v>
      </c>
      <c r="J37" s="5">
        <v>165.19390000000001</v>
      </c>
      <c r="K37" s="5">
        <v>692.89</v>
      </c>
      <c r="L37" s="5">
        <v>796.28</v>
      </c>
      <c r="M37" s="5">
        <v>781.84</v>
      </c>
      <c r="N37" s="5">
        <v>800.24</v>
      </c>
      <c r="O37" s="5">
        <v>819.21</v>
      </c>
      <c r="P37" s="5">
        <v>427.79</v>
      </c>
      <c r="Q37" s="5">
        <v>113.27</v>
      </c>
      <c r="R37" s="5">
        <v>654.16999999999996</v>
      </c>
      <c r="S37" s="5">
        <v>777.93</v>
      </c>
      <c r="T37" s="5">
        <v>192.9</v>
      </c>
      <c r="U37" s="5">
        <v>502.46</v>
      </c>
      <c r="V37" s="5">
        <v>2049.4899999999998</v>
      </c>
      <c r="W37" s="5">
        <v>2838.6017999999999</v>
      </c>
      <c r="X37" s="5">
        <v>3733.0502999999999</v>
      </c>
      <c r="Y37" s="5">
        <v>2567.7772</v>
      </c>
      <c r="Z37" s="5">
        <v>4176.6138000000001</v>
      </c>
      <c r="AA37" s="5">
        <v>863.30909999999994</v>
      </c>
      <c r="AB37" s="5">
        <v>9844.67</v>
      </c>
      <c r="AC37" s="5">
        <v>391.65</v>
      </c>
      <c r="AD37" s="5">
        <v>146.84700000000001</v>
      </c>
    </row>
    <row r="38" spans="5:30" ht="15">
      <c r="E38" s="9">
        <v>35216</v>
      </c>
      <c r="F38" s="5">
        <v>121.97</v>
      </c>
      <c r="G38" s="5">
        <v>240.94540000000001</v>
      </c>
      <c r="H38" s="5">
        <v>287.97390000000001</v>
      </c>
      <c r="I38" s="5">
        <v>663.48</v>
      </c>
      <c r="J38" s="5">
        <v>165.39619999999999</v>
      </c>
      <c r="K38" s="5">
        <v>690.87</v>
      </c>
      <c r="L38" s="5">
        <v>794.89</v>
      </c>
      <c r="M38" s="5">
        <v>781.32</v>
      </c>
      <c r="N38" s="5">
        <v>798.68</v>
      </c>
      <c r="O38" s="5">
        <v>816.91</v>
      </c>
      <c r="P38" s="5">
        <v>430.36</v>
      </c>
      <c r="Q38" s="5">
        <v>115.03</v>
      </c>
      <c r="R38" s="5">
        <v>669.12</v>
      </c>
      <c r="S38" s="5">
        <v>777.44</v>
      </c>
      <c r="T38" s="5">
        <v>192.76</v>
      </c>
      <c r="U38" s="5">
        <v>498.99</v>
      </c>
      <c r="V38" s="5">
        <v>2070.3948</v>
      </c>
      <c r="W38" s="5">
        <v>2938.8044</v>
      </c>
      <c r="X38" s="5">
        <v>3871.1731</v>
      </c>
      <c r="Y38" s="5">
        <v>2612.4564999999998</v>
      </c>
      <c r="Z38" s="5">
        <v>4173.2725</v>
      </c>
      <c r="AA38" s="5">
        <v>886.74069999999995</v>
      </c>
      <c r="AB38" s="5">
        <v>10547.84</v>
      </c>
      <c r="AC38" s="5">
        <v>391</v>
      </c>
      <c r="AD38" s="5">
        <v>146.185</v>
      </c>
    </row>
    <row r="39" spans="5:30" ht="15">
      <c r="E39" s="9">
        <v>35244</v>
      </c>
      <c r="F39" s="5">
        <v>122.51</v>
      </c>
      <c r="G39" s="5">
        <v>242.6465</v>
      </c>
      <c r="H39" s="5">
        <v>291.55880000000002</v>
      </c>
      <c r="I39" s="5">
        <v>672.39</v>
      </c>
      <c r="J39" s="5">
        <v>167.29249999999999</v>
      </c>
      <c r="K39" s="5">
        <v>700.38</v>
      </c>
      <c r="L39" s="5">
        <v>806.55</v>
      </c>
      <c r="M39" s="5">
        <v>792.82</v>
      </c>
      <c r="N39" s="5">
        <v>808.4</v>
      </c>
      <c r="O39" s="5">
        <v>831.43</v>
      </c>
      <c r="P39" s="5">
        <v>433.92</v>
      </c>
      <c r="Q39" s="5">
        <v>118.22</v>
      </c>
      <c r="R39" s="5">
        <v>670.63</v>
      </c>
      <c r="S39" s="5">
        <v>780.2</v>
      </c>
      <c r="T39" s="5">
        <v>193.48</v>
      </c>
      <c r="U39" s="5">
        <v>501.04</v>
      </c>
      <c r="V39" s="5">
        <v>2075.7777999999998</v>
      </c>
      <c r="W39" s="5">
        <v>2951.4413</v>
      </c>
      <c r="X39" s="5">
        <v>3842.9135999999999</v>
      </c>
      <c r="Y39" s="5">
        <v>2638.3198000000002</v>
      </c>
      <c r="Z39" s="5">
        <v>4129.0357999999997</v>
      </c>
      <c r="AA39" s="5">
        <v>898.95759999999996</v>
      </c>
      <c r="AB39" s="5">
        <v>9976.66</v>
      </c>
      <c r="AC39" s="5">
        <v>380.45</v>
      </c>
      <c r="AD39" s="5">
        <v>145.94200000000001</v>
      </c>
    </row>
    <row r="40" spans="5:30" ht="15">
      <c r="E40" s="9">
        <v>35277</v>
      </c>
      <c r="F40" s="5">
        <v>123.04</v>
      </c>
      <c r="G40" s="5">
        <v>243.5701</v>
      </c>
      <c r="H40" s="5">
        <v>292.19450000000001</v>
      </c>
      <c r="I40" s="5">
        <v>674.23</v>
      </c>
      <c r="J40" s="5">
        <v>168.08359999999999</v>
      </c>
      <c r="K40" s="5">
        <v>702.95</v>
      </c>
      <c r="L40" s="5">
        <v>808.11</v>
      </c>
      <c r="M40" s="5">
        <v>794.26</v>
      </c>
      <c r="N40" s="5">
        <v>809.83</v>
      </c>
      <c r="O40" s="5">
        <v>832.67</v>
      </c>
      <c r="P40" s="5">
        <v>435.94</v>
      </c>
      <c r="Q40" s="5">
        <v>119.49</v>
      </c>
      <c r="R40" s="5">
        <v>639.95000000000005</v>
      </c>
      <c r="S40" s="5">
        <v>751.45</v>
      </c>
      <c r="T40" s="5">
        <v>185.93</v>
      </c>
      <c r="U40" s="5">
        <v>465.87</v>
      </c>
      <c r="V40" s="5">
        <v>2037.3759</v>
      </c>
      <c r="W40" s="5">
        <v>2936.6840999999999</v>
      </c>
      <c r="X40" s="5">
        <v>3732.6219999999998</v>
      </c>
      <c r="Y40" s="5">
        <v>2623.0176000000001</v>
      </c>
      <c r="Z40" s="5">
        <v>4003.5131000000001</v>
      </c>
      <c r="AA40" s="5">
        <v>906.70010000000002</v>
      </c>
      <c r="AB40" s="5">
        <v>8922.99</v>
      </c>
      <c r="AC40" s="5">
        <v>387.05</v>
      </c>
      <c r="AD40" s="5">
        <v>143.87100000000001</v>
      </c>
    </row>
    <row r="41" spans="5:30" ht="15">
      <c r="E41" s="9">
        <v>35307</v>
      </c>
      <c r="F41" s="5">
        <v>123.62</v>
      </c>
      <c r="G41" s="5">
        <v>244.49680000000001</v>
      </c>
      <c r="H41" s="5">
        <v>291.62639999999999</v>
      </c>
      <c r="I41" s="5">
        <v>673.1</v>
      </c>
      <c r="J41" s="5">
        <v>168.71010000000001</v>
      </c>
      <c r="K41" s="5">
        <v>702.94</v>
      </c>
      <c r="L41" s="5">
        <v>805.62</v>
      </c>
      <c r="M41" s="5">
        <v>791.41</v>
      </c>
      <c r="N41" s="5">
        <v>809.25</v>
      </c>
      <c r="O41" s="5">
        <v>827.62</v>
      </c>
      <c r="P41" s="5">
        <v>440.65</v>
      </c>
      <c r="Q41" s="5">
        <v>123.28</v>
      </c>
      <c r="R41" s="5">
        <v>651.99</v>
      </c>
      <c r="S41" s="5">
        <v>758.9</v>
      </c>
      <c r="T41" s="5">
        <v>187.89</v>
      </c>
      <c r="U41" s="5">
        <v>477.13</v>
      </c>
      <c r="V41" s="5">
        <v>2058.7683999999999</v>
      </c>
      <c r="W41" s="5">
        <v>3007.7519000000002</v>
      </c>
      <c r="X41" s="5">
        <v>3830.7899000000002</v>
      </c>
      <c r="Y41" s="5">
        <v>2663.1496999999999</v>
      </c>
      <c r="Z41" s="5">
        <v>4032.7388000000001</v>
      </c>
      <c r="AA41" s="5">
        <v>943.5915</v>
      </c>
      <c r="AB41" s="5">
        <v>9418.0300000000007</v>
      </c>
      <c r="AC41" s="5">
        <v>386.5</v>
      </c>
      <c r="AD41" s="5">
        <v>150.85300000000001</v>
      </c>
    </row>
    <row r="42" spans="5:30" ht="15">
      <c r="E42" s="9">
        <v>35338</v>
      </c>
      <c r="F42" s="5">
        <v>124.23</v>
      </c>
      <c r="G42" s="5">
        <v>246.67920000000001</v>
      </c>
      <c r="H42" s="5">
        <v>296.41989999999998</v>
      </c>
      <c r="I42" s="5">
        <v>684.83</v>
      </c>
      <c r="J42" s="5">
        <v>171.9786</v>
      </c>
      <c r="K42" s="5">
        <v>714.71</v>
      </c>
      <c r="L42" s="5">
        <v>822.7</v>
      </c>
      <c r="M42" s="5">
        <v>808.7</v>
      </c>
      <c r="N42" s="5">
        <v>824.07</v>
      </c>
      <c r="O42" s="5">
        <v>847.69</v>
      </c>
      <c r="P42" s="5">
        <v>451.27</v>
      </c>
      <c r="Q42" s="5">
        <v>130.49</v>
      </c>
      <c r="R42" s="5">
        <v>687.31</v>
      </c>
      <c r="S42" s="5">
        <v>787.44</v>
      </c>
      <c r="T42" s="5">
        <v>194.51</v>
      </c>
      <c r="U42" s="5">
        <v>480.62</v>
      </c>
      <c r="V42" s="5">
        <v>2073.1797999999999</v>
      </c>
      <c r="W42" s="5">
        <v>3067.0046000000002</v>
      </c>
      <c r="X42" s="5">
        <v>3914.3011000000001</v>
      </c>
      <c r="Y42" s="5">
        <v>2684.4549000000002</v>
      </c>
      <c r="Z42" s="5">
        <v>4113.7968000000001</v>
      </c>
      <c r="AA42" s="5">
        <v>959.99800000000005</v>
      </c>
      <c r="AB42" s="5">
        <v>9818.9500000000007</v>
      </c>
      <c r="AC42" s="5">
        <v>378.4</v>
      </c>
      <c r="AD42" s="5">
        <v>151.62100000000001</v>
      </c>
    </row>
    <row r="43" spans="5:30" ht="15">
      <c r="E43" s="9">
        <v>35369</v>
      </c>
      <c r="F43" s="5">
        <v>124.83</v>
      </c>
      <c r="G43" s="5">
        <v>249.4744</v>
      </c>
      <c r="H43" s="5">
        <v>303.09789999999998</v>
      </c>
      <c r="I43" s="5">
        <v>700</v>
      </c>
      <c r="J43" s="5">
        <v>175.33260000000001</v>
      </c>
      <c r="K43" s="5">
        <v>728.73</v>
      </c>
      <c r="L43" s="5">
        <v>845.16</v>
      </c>
      <c r="M43" s="5">
        <v>832.06</v>
      </c>
      <c r="N43" s="5">
        <v>843.18</v>
      </c>
      <c r="O43" s="5">
        <v>872.48</v>
      </c>
      <c r="P43" s="5">
        <v>454.74</v>
      </c>
      <c r="Q43" s="5">
        <v>131.57</v>
      </c>
      <c r="R43" s="5">
        <v>705.27</v>
      </c>
      <c r="S43" s="5">
        <v>791.75</v>
      </c>
      <c r="T43" s="5">
        <v>194.98</v>
      </c>
      <c r="U43" s="5">
        <v>467.43</v>
      </c>
      <c r="V43" s="5">
        <v>2099.7165</v>
      </c>
      <c r="W43" s="5">
        <v>3096.7545</v>
      </c>
      <c r="X43" s="5">
        <v>3975.3642</v>
      </c>
      <c r="Y43" s="5">
        <v>2689.0185000000001</v>
      </c>
      <c r="Z43" s="5">
        <v>4178.7947999999997</v>
      </c>
      <c r="AA43" s="5">
        <v>990.80150000000003</v>
      </c>
      <c r="AB43" s="5">
        <v>9567.69</v>
      </c>
      <c r="AC43" s="5">
        <v>378.05</v>
      </c>
      <c r="AD43" s="5">
        <v>149.50800000000001</v>
      </c>
    </row>
    <row r="44" spans="5:30" ht="15">
      <c r="E44" s="9">
        <v>35398</v>
      </c>
      <c r="F44" s="5">
        <v>125.39</v>
      </c>
      <c r="G44" s="5">
        <v>251.2775</v>
      </c>
      <c r="H44" s="5">
        <v>308.15789999999998</v>
      </c>
      <c r="I44" s="5">
        <v>711.99</v>
      </c>
      <c r="J44" s="5">
        <v>178.56379999999999</v>
      </c>
      <c r="K44" s="5">
        <v>739.16</v>
      </c>
      <c r="L44" s="5">
        <v>863.22</v>
      </c>
      <c r="M44" s="5">
        <v>850.79</v>
      </c>
      <c r="N44" s="5">
        <v>858.05</v>
      </c>
      <c r="O44" s="5">
        <v>892.06</v>
      </c>
      <c r="P44" s="5">
        <v>463.71</v>
      </c>
      <c r="Q44" s="5">
        <v>138.05000000000001</v>
      </c>
      <c r="R44" s="5">
        <v>757.02</v>
      </c>
      <c r="S44" s="5">
        <v>834.93</v>
      </c>
      <c r="T44" s="5">
        <v>205.08</v>
      </c>
      <c r="U44" s="5">
        <v>474.71</v>
      </c>
      <c r="V44" s="5">
        <v>2151.5794999999998</v>
      </c>
      <c r="W44" s="5">
        <v>3159.6185999999998</v>
      </c>
      <c r="X44" s="5">
        <v>4041.3553000000002</v>
      </c>
      <c r="Y44" s="5">
        <v>2716.4465</v>
      </c>
      <c r="Z44" s="5">
        <v>4376.0339000000004</v>
      </c>
      <c r="AA44" s="5">
        <v>1035.8800000000001</v>
      </c>
      <c r="AB44" s="5">
        <v>9736.5400000000009</v>
      </c>
      <c r="AC44" s="5">
        <v>371.65</v>
      </c>
      <c r="AD44" s="5">
        <v>157.84800000000001</v>
      </c>
    </row>
    <row r="45" spans="5:30" ht="15">
      <c r="E45" s="9">
        <v>35430</v>
      </c>
      <c r="F45" s="5">
        <v>125.92</v>
      </c>
      <c r="G45" s="5">
        <v>251.3134</v>
      </c>
      <c r="H45" s="5">
        <v>305.02190000000002</v>
      </c>
      <c r="I45" s="5">
        <v>705.37</v>
      </c>
      <c r="J45" s="5">
        <v>177.7346</v>
      </c>
      <c r="K45" s="5">
        <v>735.29</v>
      </c>
      <c r="L45" s="5">
        <v>851.3</v>
      </c>
      <c r="M45" s="5">
        <v>838.44</v>
      </c>
      <c r="N45" s="5">
        <v>848.9</v>
      </c>
      <c r="O45" s="5">
        <v>877.71</v>
      </c>
      <c r="P45" s="5">
        <v>467.03</v>
      </c>
      <c r="Q45" s="5">
        <v>139.55000000000001</v>
      </c>
      <c r="R45" s="5">
        <v>740.74</v>
      </c>
      <c r="S45" s="5">
        <v>820.36</v>
      </c>
      <c r="T45" s="5">
        <v>201.78</v>
      </c>
      <c r="U45" s="5">
        <v>476.31</v>
      </c>
      <c r="V45" s="5">
        <v>2169.0073000000002</v>
      </c>
      <c r="W45" s="5">
        <v>3215.8598000000002</v>
      </c>
      <c r="X45" s="5">
        <v>4074.8984999999998</v>
      </c>
      <c r="Y45" s="5">
        <v>2767.7873</v>
      </c>
      <c r="Z45" s="5">
        <v>4354.5914000000002</v>
      </c>
      <c r="AA45" s="5">
        <v>1139.098</v>
      </c>
      <c r="AB45" s="5">
        <v>9994</v>
      </c>
      <c r="AC45" s="5">
        <v>367.7</v>
      </c>
      <c r="AD45" s="5">
        <v>160.001</v>
      </c>
    </row>
    <row r="46" spans="5:30" ht="15">
      <c r="E46" s="9">
        <v>35461</v>
      </c>
      <c r="F46" s="5">
        <v>126.49</v>
      </c>
      <c r="G46" s="5">
        <v>252.51390000000001</v>
      </c>
      <c r="H46" s="5">
        <v>305.48700000000002</v>
      </c>
      <c r="I46" s="5">
        <v>707.53</v>
      </c>
      <c r="J46" s="5">
        <v>178.89529999999999</v>
      </c>
      <c r="K46" s="5">
        <v>740.75</v>
      </c>
      <c r="L46" s="5">
        <v>852.5</v>
      </c>
      <c r="M46" s="5">
        <v>838.91</v>
      </c>
      <c r="N46" s="5">
        <v>852.06</v>
      </c>
      <c r="O46" s="5">
        <v>877.92</v>
      </c>
      <c r="P46" s="5">
        <v>471.59</v>
      </c>
      <c r="Q46" s="5">
        <v>143.79</v>
      </c>
      <c r="R46" s="5">
        <v>786.16</v>
      </c>
      <c r="S46" s="5">
        <v>829.08</v>
      </c>
      <c r="T46" s="5">
        <v>204.86</v>
      </c>
      <c r="U46" s="5">
        <v>508.42</v>
      </c>
      <c r="V46" s="5">
        <v>2254.8998999999999</v>
      </c>
      <c r="W46" s="5">
        <v>3307.1903000000002</v>
      </c>
      <c r="X46" s="5">
        <v>4188.1806999999999</v>
      </c>
      <c r="Y46" s="5">
        <v>2805.9828000000002</v>
      </c>
      <c r="Z46" s="5">
        <v>4578.4173000000001</v>
      </c>
      <c r="AA46" s="5">
        <v>1151.7829999999999</v>
      </c>
      <c r="AB46" s="5">
        <v>10461.23</v>
      </c>
      <c r="AC46" s="5">
        <v>344.35</v>
      </c>
      <c r="AD46" s="5">
        <v>161.02500000000001</v>
      </c>
    </row>
    <row r="47" spans="5:30" ht="15">
      <c r="E47" s="9">
        <v>35489</v>
      </c>
      <c r="F47" s="5">
        <v>126.98</v>
      </c>
      <c r="G47" s="5">
        <v>253.10140000000001</v>
      </c>
      <c r="H47" s="5">
        <v>305.63350000000003</v>
      </c>
      <c r="I47" s="5">
        <v>709.29</v>
      </c>
      <c r="J47" s="5">
        <v>179.6114</v>
      </c>
      <c r="K47" s="5">
        <v>743.22</v>
      </c>
      <c r="L47" s="5">
        <v>856.07</v>
      </c>
      <c r="M47" s="5">
        <v>842.73</v>
      </c>
      <c r="N47" s="5">
        <v>855.2</v>
      </c>
      <c r="O47" s="5">
        <v>882.97</v>
      </c>
      <c r="P47" s="5">
        <v>479.39</v>
      </c>
      <c r="Q47" s="5">
        <v>146.13</v>
      </c>
      <c r="R47" s="5">
        <v>790.82</v>
      </c>
      <c r="S47" s="5">
        <v>837.44</v>
      </c>
      <c r="T47" s="5">
        <v>207.34</v>
      </c>
      <c r="U47" s="5">
        <v>529.86</v>
      </c>
      <c r="V47" s="5">
        <v>2301.1253999999999</v>
      </c>
      <c r="W47" s="5">
        <v>3337.9470999999999</v>
      </c>
      <c r="X47" s="5">
        <v>4178.1291000000001</v>
      </c>
      <c r="Y47" s="5">
        <v>2836.5680000000002</v>
      </c>
      <c r="Z47" s="5">
        <v>4651.2142000000003</v>
      </c>
      <c r="AA47" s="5">
        <v>1152.771</v>
      </c>
      <c r="AB47" s="5">
        <v>10153.44</v>
      </c>
      <c r="AC47" s="5">
        <v>363.45</v>
      </c>
      <c r="AD47" s="5">
        <v>162.71299999999999</v>
      </c>
    </row>
    <row r="48" spans="5:30" ht="15">
      <c r="E48" s="9">
        <v>35520</v>
      </c>
      <c r="F48" s="5">
        <v>127.49</v>
      </c>
      <c r="G48" s="5">
        <v>253.02279999999999</v>
      </c>
      <c r="H48" s="5">
        <v>302.5951</v>
      </c>
      <c r="I48" s="5">
        <v>701.43</v>
      </c>
      <c r="J48" s="5">
        <v>178.0428</v>
      </c>
      <c r="K48" s="5">
        <v>736.22</v>
      </c>
      <c r="L48" s="5">
        <v>842.74</v>
      </c>
      <c r="M48" s="5">
        <v>828.42</v>
      </c>
      <c r="N48" s="5">
        <v>844.43</v>
      </c>
      <c r="O48" s="5">
        <v>869.09</v>
      </c>
      <c r="P48" s="5">
        <v>472.25</v>
      </c>
      <c r="Q48" s="5">
        <v>141.26</v>
      </c>
      <c r="R48" s="5">
        <v>757.12</v>
      </c>
      <c r="S48" s="5">
        <v>819.68</v>
      </c>
      <c r="T48" s="5">
        <v>202.84</v>
      </c>
      <c r="U48" s="5">
        <v>514.61</v>
      </c>
      <c r="V48" s="5">
        <v>2280.6453999999999</v>
      </c>
      <c r="W48" s="5">
        <v>3320.2559999999999</v>
      </c>
      <c r="X48" s="5">
        <v>4147.6287000000002</v>
      </c>
      <c r="Y48" s="5">
        <v>2817.8467000000001</v>
      </c>
      <c r="Z48" s="5">
        <v>4593.5391</v>
      </c>
      <c r="AA48" s="5">
        <v>1142.106</v>
      </c>
      <c r="AB48" s="5">
        <v>9584.81</v>
      </c>
      <c r="AC48" s="5">
        <v>351.25</v>
      </c>
      <c r="AD48" s="5">
        <v>166.108</v>
      </c>
    </row>
    <row r="49" spans="5:30" ht="15">
      <c r="E49" s="9">
        <v>35550</v>
      </c>
      <c r="F49" s="5">
        <v>128.11000000000001</v>
      </c>
      <c r="G49" s="5">
        <v>254.9939</v>
      </c>
      <c r="H49" s="5">
        <v>306.76150000000001</v>
      </c>
      <c r="I49" s="5">
        <v>711.93</v>
      </c>
      <c r="J49" s="5">
        <v>180.4049</v>
      </c>
      <c r="K49" s="5">
        <v>747.96</v>
      </c>
      <c r="L49" s="5">
        <v>855.51</v>
      </c>
      <c r="M49" s="5">
        <v>840.96</v>
      </c>
      <c r="N49" s="5">
        <v>855.33</v>
      </c>
      <c r="O49" s="5">
        <v>884.45</v>
      </c>
      <c r="P49" s="5">
        <v>477.23</v>
      </c>
      <c r="Q49" s="5">
        <v>145.41</v>
      </c>
      <c r="R49" s="5">
        <v>801.34</v>
      </c>
      <c r="S49" s="5">
        <v>845.28</v>
      </c>
      <c r="T49" s="5">
        <v>208.99</v>
      </c>
      <c r="U49" s="5">
        <v>513.70000000000005</v>
      </c>
      <c r="V49" s="5">
        <v>2283.3820999999998</v>
      </c>
      <c r="W49" s="5">
        <v>3292.6979000000001</v>
      </c>
      <c r="X49" s="5">
        <v>4136.4300999999996</v>
      </c>
      <c r="Y49" s="5">
        <v>2854.4787000000001</v>
      </c>
      <c r="Z49" s="5">
        <v>4583.4332999999997</v>
      </c>
      <c r="AA49" s="5">
        <v>1116.0730000000001</v>
      </c>
      <c r="AB49" s="5">
        <v>9204.25</v>
      </c>
      <c r="AC49" s="5">
        <v>339.5</v>
      </c>
      <c r="AD49" s="5">
        <v>167.41499999999999</v>
      </c>
    </row>
    <row r="50" spans="5:30" ht="15">
      <c r="E50" s="9">
        <v>35580</v>
      </c>
      <c r="F50" s="5">
        <v>128.79</v>
      </c>
      <c r="G50" s="5">
        <v>256.74520000000001</v>
      </c>
      <c r="H50" s="5">
        <v>309.44819999999999</v>
      </c>
      <c r="I50" s="5">
        <v>718.66</v>
      </c>
      <c r="J50" s="5">
        <v>181.8939</v>
      </c>
      <c r="K50" s="5">
        <v>755.28</v>
      </c>
      <c r="L50" s="5">
        <v>865.2</v>
      </c>
      <c r="M50" s="5">
        <v>851.32</v>
      </c>
      <c r="N50" s="5">
        <v>864.85</v>
      </c>
      <c r="O50" s="5">
        <v>893.46</v>
      </c>
      <c r="P50" s="5">
        <v>487.44</v>
      </c>
      <c r="Q50" s="5">
        <v>150.34</v>
      </c>
      <c r="R50" s="5">
        <v>848.28</v>
      </c>
      <c r="S50" s="5">
        <v>896.24</v>
      </c>
      <c r="T50" s="5">
        <v>221.11</v>
      </c>
      <c r="U50" s="5">
        <v>527.01</v>
      </c>
      <c r="V50" s="5">
        <v>2308.2710000000002</v>
      </c>
      <c r="W50" s="5">
        <v>3436.2595000000001</v>
      </c>
      <c r="X50" s="5">
        <v>4344.9062000000004</v>
      </c>
      <c r="Y50" s="5">
        <v>2906.7156</v>
      </c>
      <c r="Z50" s="5">
        <v>4667.3101999999999</v>
      </c>
      <c r="AA50" s="5">
        <v>1151.788</v>
      </c>
      <c r="AB50" s="5">
        <v>10143.370000000001</v>
      </c>
      <c r="AC50" s="5">
        <v>344.65</v>
      </c>
      <c r="AD50" s="5">
        <v>169.88499999999999</v>
      </c>
    </row>
    <row r="51" spans="5:30" ht="15">
      <c r="E51" s="9">
        <v>35611</v>
      </c>
      <c r="F51" s="5">
        <v>129.35</v>
      </c>
      <c r="G51" s="5">
        <v>258.51549999999997</v>
      </c>
      <c r="H51" s="5">
        <v>312.91379999999998</v>
      </c>
      <c r="I51" s="5">
        <v>727.19</v>
      </c>
      <c r="J51" s="5">
        <v>184.4042</v>
      </c>
      <c r="K51" s="5">
        <v>764.09</v>
      </c>
      <c r="L51" s="5">
        <v>877.45</v>
      </c>
      <c r="M51" s="5">
        <v>864.6</v>
      </c>
      <c r="N51" s="5">
        <v>874.77</v>
      </c>
      <c r="O51" s="5">
        <v>907.23</v>
      </c>
      <c r="P51" s="5">
        <v>494.2</v>
      </c>
      <c r="Q51" s="5">
        <v>153.63</v>
      </c>
      <c r="R51" s="5">
        <v>885.14</v>
      </c>
      <c r="S51" s="5">
        <v>939.75</v>
      </c>
      <c r="T51" s="5">
        <v>232.08</v>
      </c>
      <c r="U51" s="5">
        <v>554.12</v>
      </c>
      <c r="V51" s="5">
        <v>2374.2876000000001</v>
      </c>
      <c r="W51" s="5">
        <v>3527.3204000000001</v>
      </c>
      <c r="X51" s="5">
        <v>4430.5009</v>
      </c>
      <c r="Y51" s="5">
        <v>2962.8152</v>
      </c>
      <c r="Z51" s="5">
        <v>4752.2551999999996</v>
      </c>
      <c r="AA51" s="5">
        <v>1207.0719999999999</v>
      </c>
      <c r="AB51" s="5">
        <v>10718.61</v>
      </c>
      <c r="AC51" s="5">
        <v>333.95</v>
      </c>
      <c r="AD51" s="5">
        <v>160.12100000000001</v>
      </c>
    </row>
    <row r="52" spans="5:30" ht="15">
      <c r="E52" s="9">
        <v>35642</v>
      </c>
      <c r="F52" s="5">
        <v>129.97</v>
      </c>
      <c r="G52" s="5">
        <v>261.33359999999999</v>
      </c>
      <c r="H52" s="5">
        <v>321.9042</v>
      </c>
      <c r="I52" s="5">
        <v>746.79</v>
      </c>
      <c r="J52" s="5">
        <v>188.4134</v>
      </c>
      <c r="K52" s="5">
        <v>778.49</v>
      </c>
      <c r="L52" s="5">
        <v>909.56</v>
      </c>
      <c r="M52" s="5">
        <v>899.01</v>
      </c>
      <c r="N52" s="5">
        <v>900.81</v>
      </c>
      <c r="O52" s="5">
        <v>943.27</v>
      </c>
      <c r="P52" s="5">
        <v>507.77</v>
      </c>
      <c r="Q52" s="5">
        <v>159.97999999999999</v>
      </c>
      <c r="R52" s="5">
        <v>954.29</v>
      </c>
      <c r="S52" s="5">
        <v>981.84</v>
      </c>
      <c r="T52" s="5">
        <v>242.24</v>
      </c>
      <c r="U52" s="5">
        <v>561.32000000000005</v>
      </c>
      <c r="V52" s="5">
        <v>2461.6613000000002</v>
      </c>
      <c r="W52" s="5">
        <v>3623.2635</v>
      </c>
      <c r="X52" s="5">
        <v>4654.2412000000004</v>
      </c>
      <c r="Y52" s="5">
        <v>3009.3314</v>
      </c>
      <c r="Z52" s="5">
        <v>5032.6382999999996</v>
      </c>
      <c r="AA52" s="5">
        <v>1243.1949999999999</v>
      </c>
      <c r="AB52" s="5">
        <v>11282.26</v>
      </c>
      <c r="AC52" s="5">
        <v>324.55</v>
      </c>
      <c r="AD52" s="5">
        <v>165.31899999999999</v>
      </c>
    </row>
    <row r="53" spans="5:30" ht="15">
      <c r="E53" s="9">
        <v>35671</v>
      </c>
      <c r="F53" s="5">
        <v>130.54</v>
      </c>
      <c r="G53" s="5">
        <v>261.60649999999998</v>
      </c>
      <c r="H53" s="5">
        <v>318.59989999999999</v>
      </c>
      <c r="I53" s="5">
        <v>740.43</v>
      </c>
      <c r="J53" s="5">
        <v>187.5273</v>
      </c>
      <c r="K53" s="5">
        <v>776.65</v>
      </c>
      <c r="L53" s="5">
        <v>896.13</v>
      </c>
      <c r="M53" s="5">
        <v>884.15</v>
      </c>
      <c r="N53" s="5">
        <v>890.93</v>
      </c>
      <c r="O53" s="5">
        <v>927.94</v>
      </c>
      <c r="P53" s="5">
        <v>506.62</v>
      </c>
      <c r="Q53" s="5">
        <v>159.21</v>
      </c>
      <c r="R53" s="5">
        <v>899.47</v>
      </c>
      <c r="S53" s="5">
        <v>914.97</v>
      </c>
      <c r="T53" s="5">
        <v>224.92</v>
      </c>
      <c r="U53" s="5">
        <v>489.24</v>
      </c>
      <c r="V53" s="5">
        <v>2454.0302000000001</v>
      </c>
      <c r="W53" s="5">
        <v>3642.1044999999999</v>
      </c>
      <c r="X53" s="5">
        <v>4717.0734000000002</v>
      </c>
      <c r="Y53" s="5">
        <v>3052.3649</v>
      </c>
      <c r="Z53" s="5">
        <v>4969.7303000000002</v>
      </c>
      <c r="AA53" s="5">
        <v>1240.704</v>
      </c>
      <c r="AB53" s="5">
        <v>11777.21</v>
      </c>
      <c r="AC53" s="5">
        <v>324.14999999999998</v>
      </c>
      <c r="AD53" s="5">
        <v>165.15299999999999</v>
      </c>
    </row>
    <row r="54" spans="5:30" ht="15">
      <c r="E54" s="9">
        <v>35703</v>
      </c>
      <c r="F54" s="5">
        <v>131.16</v>
      </c>
      <c r="G54" s="5">
        <v>263.60210000000001</v>
      </c>
      <c r="H54" s="5">
        <v>323.49250000000001</v>
      </c>
      <c r="I54" s="5">
        <v>751.35</v>
      </c>
      <c r="J54" s="5">
        <v>190.5341</v>
      </c>
      <c r="K54" s="5">
        <v>786.49</v>
      </c>
      <c r="L54" s="5">
        <v>911.81</v>
      </c>
      <c r="M54" s="5">
        <v>900.44</v>
      </c>
      <c r="N54" s="5">
        <v>904.76</v>
      </c>
      <c r="O54" s="5">
        <v>945.37</v>
      </c>
      <c r="P54" s="5">
        <v>516.66</v>
      </c>
      <c r="Q54" s="5">
        <v>163.62</v>
      </c>
      <c r="R54" s="5">
        <v>947.28</v>
      </c>
      <c r="S54" s="5">
        <v>963.49</v>
      </c>
      <c r="T54" s="5">
        <v>236.58</v>
      </c>
      <c r="U54" s="5">
        <v>502.05</v>
      </c>
      <c r="V54" s="5">
        <v>2522.4976000000001</v>
      </c>
      <c r="W54" s="5">
        <v>3772.8560000000002</v>
      </c>
      <c r="X54" s="5">
        <v>4985.4749000000002</v>
      </c>
      <c r="Y54" s="5">
        <v>3109.1388999999999</v>
      </c>
      <c r="Z54" s="5">
        <v>5121.3071</v>
      </c>
      <c r="AA54" s="5">
        <v>1339.809</v>
      </c>
      <c r="AB54" s="5">
        <v>12956.14</v>
      </c>
      <c r="AC54" s="5">
        <v>334.45</v>
      </c>
      <c r="AD54" s="5">
        <v>167.00200000000001</v>
      </c>
    </row>
    <row r="55" spans="5:30" ht="15">
      <c r="E55" s="9">
        <v>35734</v>
      </c>
      <c r="F55" s="5">
        <v>131.74</v>
      </c>
      <c r="G55" s="5">
        <v>265.56849999999997</v>
      </c>
      <c r="H55" s="5">
        <v>329.13690000000003</v>
      </c>
      <c r="I55" s="5">
        <v>762.25</v>
      </c>
      <c r="J55" s="5">
        <v>192.57509999999999</v>
      </c>
      <c r="K55" s="5">
        <v>795.21</v>
      </c>
      <c r="L55" s="5">
        <v>923.37</v>
      </c>
      <c r="M55" s="5">
        <v>913.61</v>
      </c>
      <c r="N55" s="5">
        <v>915.36</v>
      </c>
      <c r="O55" s="5">
        <v>958.77</v>
      </c>
      <c r="P55" s="5">
        <v>517.12</v>
      </c>
      <c r="Q55" s="5">
        <v>146.29</v>
      </c>
      <c r="R55" s="5">
        <v>914.62</v>
      </c>
      <c r="S55" s="5">
        <v>911.57</v>
      </c>
      <c r="T55" s="5">
        <v>222.17</v>
      </c>
      <c r="U55" s="5">
        <v>419.26</v>
      </c>
      <c r="V55" s="5">
        <v>2465.2368999999999</v>
      </c>
      <c r="W55" s="5">
        <v>3789.8339000000001</v>
      </c>
      <c r="X55" s="5">
        <v>5004.9183000000003</v>
      </c>
      <c r="Y55" s="5">
        <v>3138.9866000000002</v>
      </c>
      <c r="Z55" s="5">
        <v>5039.3662000000004</v>
      </c>
      <c r="AA55" s="5">
        <v>1305.6669999999999</v>
      </c>
      <c r="AB55" s="5">
        <v>12539.63</v>
      </c>
      <c r="AC55" s="5">
        <v>311.45</v>
      </c>
      <c r="AD55" s="5">
        <v>167.66399999999999</v>
      </c>
    </row>
    <row r="56" spans="5:30" ht="15">
      <c r="E56" s="9">
        <v>35762</v>
      </c>
      <c r="F56" s="5">
        <v>132.28</v>
      </c>
      <c r="G56" s="5">
        <v>266.2296</v>
      </c>
      <c r="H56" s="5">
        <v>330.8614</v>
      </c>
      <c r="I56" s="5">
        <v>765.76</v>
      </c>
      <c r="J56" s="5">
        <v>193.71539999999999</v>
      </c>
      <c r="K56" s="5">
        <v>797.82</v>
      </c>
      <c r="L56" s="5">
        <v>928.58</v>
      </c>
      <c r="M56" s="5">
        <v>919.98</v>
      </c>
      <c r="N56" s="5">
        <v>919.62</v>
      </c>
      <c r="O56" s="5">
        <v>965.06</v>
      </c>
      <c r="P56" s="5">
        <v>522.05999999999995</v>
      </c>
      <c r="Q56" s="5">
        <v>152.49</v>
      </c>
      <c r="R56" s="5">
        <v>955.4</v>
      </c>
      <c r="S56" s="5">
        <v>926.5</v>
      </c>
      <c r="T56" s="5">
        <v>225.26</v>
      </c>
      <c r="U56" s="5">
        <v>403.67</v>
      </c>
      <c r="V56" s="5">
        <v>2444.529</v>
      </c>
      <c r="W56" s="5">
        <v>3841.3755999999998</v>
      </c>
      <c r="X56" s="5">
        <v>4958.3725000000004</v>
      </c>
      <c r="Y56" s="5">
        <v>3180.1073000000001</v>
      </c>
      <c r="Z56" s="5">
        <v>5026.7677000000003</v>
      </c>
      <c r="AA56" s="5">
        <v>1327.8040000000001</v>
      </c>
      <c r="AB56" s="5">
        <v>12292.72</v>
      </c>
      <c r="AC56" s="5">
        <v>297</v>
      </c>
      <c r="AD56" s="5">
        <v>161.00800000000001</v>
      </c>
    </row>
    <row r="57" spans="5:30" ht="15">
      <c r="E57" s="9">
        <v>35795</v>
      </c>
      <c r="F57" s="5">
        <v>132.88</v>
      </c>
      <c r="G57" s="5">
        <v>268.04199999999997</v>
      </c>
      <c r="H57" s="5">
        <v>334.41969999999998</v>
      </c>
      <c r="I57" s="5">
        <v>773.47</v>
      </c>
      <c r="J57" s="5">
        <v>195.80369999999999</v>
      </c>
      <c r="K57" s="5">
        <v>805.09</v>
      </c>
      <c r="L57" s="5">
        <v>938.42</v>
      </c>
      <c r="M57" s="5">
        <v>932.11</v>
      </c>
      <c r="N57" s="5">
        <v>929.96</v>
      </c>
      <c r="O57" s="5">
        <v>977.71</v>
      </c>
      <c r="P57" s="5">
        <v>526.64</v>
      </c>
      <c r="Q57" s="5">
        <v>156.22</v>
      </c>
      <c r="R57" s="5">
        <v>970.43</v>
      </c>
      <c r="S57" s="5">
        <v>936.59</v>
      </c>
      <c r="T57" s="5">
        <v>227.88</v>
      </c>
      <c r="U57" s="5">
        <v>412.46</v>
      </c>
      <c r="V57" s="5">
        <v>2466.0408000000002</v>
      </c>
      <c r="W57" s="5">
        <v>3898.6120999999998</v>
      </c>
      <c r="X57" s="5">
        <v>5028.7813999999998</v>
      </c>
      <c r="Y57" s="5">
        <v>3208.7283000000002</v>
      </c>
      <c r="Z57" s="5">
        <v>5174.0519999999997</v>
      </c>
      <c r="AA57" s="5">
        <v>1353.942</v>
      </c>
      <c r="AB57" s="5">
        <v>12194.87</v>
      </c>
      <c r="AC57" s="5">
        <v>289.05</v>
      </c>
      <c r="AD57" s="5">
        <v>154.57900000000001</v>
      </c>
    </row>
    <row r="58" spans="5:30" ht="15">
      <c r="E58" s="9">
        <v>35825</v>
      </c>
      <c r="F58" s="5">
        <v>133.55000000000001</v>
      </c>
      <c r="G58" s="5">
        <v>270.63459999999998</v>
      </c>
      <c r="H58" s="5">
        <v>339.56060000000002</v>
      </c>
      <c r="I58" s="5">
        <v>783.4</v>
      </c>
      <c r="J58" s="5">
        <v>198.41309999999999</v>
      </c>
      <c r="K58" s="5">
        <v>813.1</v>
      </c>
      <c r="L58" s="5">
        <v>949.55</v>
      </c>
      <c r="M58" s="5">
        <v>942.21</v>
      </c>
      <c r="N58" s="5">
        <v>941.58</v>
      </c>
      <c r="O58" s="5">
        <v>989.4</v>
      </c>
      <c r="P58" s="5">
        <v>536.12</v>
      </c>
      <c r="Q58" s="5">
        <v>156.97</v>
      </c>
      <c r="R58" s="5">
        <v>980.28</v>
      </c>
      <c r="S58" s="5">
        <v>961.49</v>
      </c>
      <c r="T58" s="5">
        <v>232.58</v>
      </c>
      <c r="U58" s="5">
        <v>379.8</v>
      </c>
      <c r="V58" s="5">
        <v>2435.2152999999998</v>
      </c>
      <c r="W58" s="5">
        <v>3908.3586</v>
      </c>
      <c r="X58" s="5">
        <v>5020.7353999999996</v>
      </c>
      <c r="Y58" s="5">
        <v>3272.2611000000002</v>
      </c>
      <c r="Z58" s="5">
        <v>5184.4000999999998</v>
      </c>
      <c r="AA58" s="5">
        <v>1347.607</v>
      </c>
      <c r="AB58" s="5">
        <v>12151.11</v>
      </c>
      <c r="AC58" s="5">
        <v>302.45</v>
      </c>
      <c r="AD58" s="5">
        <v>155.15</v>
      </c>
    </row>
    <row r="59" spans="5:30" ht="15">
      <c r="E59" s="9">
        <v>35853</v>
      </c>
      <c r="F59" s="5">
        <v>134.03</v>
      </c>
      <c r="G59" s="5">
        <v>270.86369999999999</v>
      </c>
      <c r="H59" s="5">
        <v>338.48009999999999</v>
      </c>
      <c r="I59" s="5">
        <v>782.81</v>
      </c>
      <c r="J59" s="5">
        <v>199.02809999999999</v>
      </c>
      <c r="K59" s="5">
        <v>814.82</v>
      </c>
      <c r="L59" s="5">
        <v>949.24</v>
      </c>
      <c r="M59" s="5">
        <v>941.92</v>
      </c>
      <c r="N59" s="5">
        <v>942.84</v>
      </c>
      <c r="O59" s="5">
        <v>988.54</v>
      </c>
      <c r="P59" s="5">
        <v>539.26</v>
      </c>
      <c r="Q59" s="5">
        <v>161.12</v>
      </c>
      <c r="R59" s="5">
        <v>1049.3399999999999</v>
      </c>
      <c r="S59" s="5">
        <v>1025.3</v>
      </c>
      <c r="T59" s="5">
        <v>248.16</v>
      </c>
      <c r="U59" s="5">
        <v>419.23</v>
      </c>
      <c r="V59" s="5">
        <v>2492.6864</v>
      </c>
      <c r="W59" s="5">
        <v>4039.6795000000002</v>
      </c>
      <c r="X59" s="5">
        <v>5226.0834000000004</v>
      </c>
      <c r="Y59" s="5">
        <v>3317.7455</v>
      </c>
      <c r="Z59" s="5">
        <v>5282.9036999999998</v>
      </c>
      <c r="AA59" s="5">
        <v>1324.74</v>
      </c>
      <c r="AB59" s="5">
        <v>12939.21</v>
      </c>
      <c r="AC59" s="5">
        <v>299.14999999999998</v>
      </c>
      <c r="AD59" s="5">
        <v>148.477</v>
      </c>
    </row>
    <row r="60" spans="5:30" ht="15">
      <c r="E60" s="9">
        <v>35885</v>
      </c>
      <c r="F60" s="5">
        <v>134.66999999999999</v>
      </c>
      <c r="G60" s="5">
        <v>271.91980000000001</v>
      </c>
      <c r="H60" s="5">
        <v>339.5016</v>
      </c>
      <c r="I60" s="5">
        <v>785.5</v>
      </c>
      <c r="J60" s="5">
        <v>200.14580000000001</v>
      </c>
      <c r="K60" s="5">
        <v>818.27</v>
      </c>
      <c r="L60" s="5">
        <v>952.75</v>
      </c>
      <c r="M60" s="5">
        <v>944.93</v>
      </c>
      <c r="N60" s="5">
        <v>946.27</v>
      </c>
      <c r="O60" s="5">
        <v>992.06</v>
      </c>
      <c r="P60" s="5">
        <v>544.32000000000005</v>
      </c>
      <c r="Q60" s="5">
        <v>164.78</v>
      </c>
      <c r="R60" s="5">
        <v>1101.75</v>
      </c>
      <c r="S60" s="5">
        <v>1067.3499999999999</v>
      </c>
      <c r="T60" s="5">
        <v>258.39</v>
      </c>
      <c r="U60" s="5">
        <v>436.02</v>
      </c>
      <c r="V60" s="5">
        <v>2613.3323999999998</v>
      </c>
      <c r="W60" s="5">
        <v>4158.0420999999997</v>
      </c>
      <c r="X60" s="5">
        <v>5463.3476000000001</v>
      </c>
      <c r="Y60" s="5">
        <v>3369.8341</v>
      </c>
      <c r="Z60" s="5">
        <v>5549.6904000000004</v>
      </c>
      <c r="AA60" s="5">
        <v>1346.5889999999999</v>
      </c>
      <c r="AB60" s="5">
        <v>13617.62</v>
      </c>
      <c r="AC60" s="5">
        <v>300.95</v>
      </c>
      <c r="AD60" s="5">
        <v>148.90700000000001</v>
      </c>
    </row>
    <row r="61" spans="5:30" ht="15">
      <c r="E61" s="9">
        <v>35915</v>
      </c>
      <c r="F61" s="5">
        <v>135.29</v>
      </c>
      <c r="G61" s="5">
        <v>273.22379999999998</v>
      </c>
      <c r="H61" s="5">
        <v>340.99329999999998</v>
      </c>
      <c r="I61" s="5">
        <v>789.6</v>
      </c>
      <c r="J61" s="5">
        <v>201.0992</v>
      </c>
      <c r="K61" s="5">
        <v>822.9</v>
      </c>
      <c r="L61" s="5">
        <v>958.77</v>
      </c>
      <c r="M61" s="5">
        <v>950.32</v>
      </c>
      <c r="N61" s="5">
        <v>952.6</v>
      </c>
      <c r="O61" s="5">
        <v>998.22</v>
      </c>
      <c r="P61" s="5">
        <v>546.47</v>
      </c>
      <c r="Q61" s="5">
        <v>165.16</v>
      </c>
      <c r="R61" s="5">
        <v>1111.75</v>
      </c>
      <c r="S61" s="5">
        <v>1076.53</v>
      </c>
      <c r="T61" s="5">
        <v>260.45</v>
      </c>
      <c r="U61" s="5">
        <v>430.41</v>
      </c>
      <c r="V61" s="5">
        <v>2638.4204</v>
      </c>
      <c r="W61" s="5">
        <v>4170.9319999999998</v>
      </c>
      <c r="X61" s="5">
        <v>5539.2880999999998</v>
      </c>
      <c r="Y61" s="5">
        <v>3434.8719000000001</v>
      </c>
      <c r="Z61" s="5">
        <v>5542.4758000000002</v>
      </c>
      <c r="AA61" s="5">
        <v>1303.3009999999999</v>
      </c>
      <c r="AB61" s="5">
        <v>13921.44</v>
      </c>
      <c r="AC61" s="5">
        <v>306.64999999999998</v>
      </c>
      <c r="AD61" s="5">
        <v>146.959</v>
      </c>
    </row>
    <row r="62" spans="5:30" ht="15">
      <c r="E62" s="9">
        <v>35944</v>
      </c>
      <c r="F62" s="5">
        <v>135.88</v>
      </c>
      <c r="G62" s="5">
        <v>274.67790000000002</v>
      </c>
      <c r="H62" s="5">
        <v>344.48360000000002</v>
      </c>
      <c r="I62" s="5">
        <v>797.09</v>
      </c>
      <c r="J62" s="5">
        <v>203.3065</v>
      </c>
      <c r="K62" s="5">
        <v>828.37</v>
      </c>
      <c r="L62" s="5">
        <v>970.15</v>
      </c>
      <c r="M62" s="5">
        <v>962.59</v>
      </c>
      <c r="N62" s="5">
        <v>962.02</v>
      </c>
      <c r="O62" s="5">
        <v>1011.44</v>
      </c>
      <c r="P62" s="5">
        <v>548.37</v>
      </c>
      <c r="Q62" s="5">
        <v>160.16999999999999</v>
      </c>
      <c r="R62" s="5">
        <v>1090.82</v>
      </c>
      <c r="S62" s="5">
        <v>1061.79</v>
      </c>
      <c r="T62" s="5">
        <v>255.14</v>
      </c>
      <c r="U62" s="5">
        <v>370.1</v>
      </c>
      <c r="V62" s="5">
        <v>2599.8995</v>
      </c>
      <c r="W62" s="5">
        <v>4121.2978999999996</v>
      </c>
      <c r="X62" s="5">
        <v>5468.9391999999998</v>
      </c>
      <c r="Y62" s="5">
        <v>3445.1765999999998</v>
      </c>
      <c r="Z62" s="5">
        <v>5546.9098000000004</v>
      </c>
      <c r="AA62" s="5">
        <v>1292.249</v>
      </c>
      <c r="AB62" s="5">
        <v>13222.55</v>
      </c>
      <c r="AC62" s="5">
        <v>292.95</v>
      </c>
      <c r="AD62" s="5">
        <v>139.721</v>
      </c>
    </row>
    <row r="63" spans="5:30" ht="15">
      <c r="E63" s="9">
        <v>35976</v>
      </c>
      <c r="F63" s="5">
        <v>136.47</v>
      </c>
      <c r="G63" s="5">
        <v>276.09500000000003</v>
      </c>
      <c r="H63" s="5">
        <v>348.4819</v>
      </c>
      <c r="I63" s="5">
        <v>803.85</v>
      </c>
      <c r="J63" s="5">
        <v>204.70310000000001</v>
      </c>
      <c r="K63" s="5">
        <v>832.32</v>
      </c>
      <c r="L63" s="5">
        <v>977.32</v>
      </c>
      <c r="M63" s="5">
        <v>970.52</v>
      </c>
      <c r="N63" s="5">
        <v>968.98</v>
      </c>
      <c r="O63" s="5">
        <v>1016.87</v>
      </c>
      <c r="P63" s="5">
        <v>550.34</v>
      </c>
      <c r="Q63" s="5">
        <v>156.11000000000001</v>
      </c>
      <c r="R63" s="5">
        <v>1133.8399999999999</v>
      </c>
      <c r="S63" s="5">
        <v>1085.74</v>
      </c>
      <c r="T63" s="5">
        <v>259.39</v>
      </c>
      <c r="U63" s="5">
        <v>330.52</v>
      </c>
      <c r="V63" s="5">
        <v>2577.5403000000001</v>
      </c>
      <c r="W63" s="5">
        <v>4134.0739999999996</v>
      </c>
      <c r="X63" s="5">
        <v>5496.2839000000004</v>
      </c>
      <c r="Y63" s="5">
        <v>3450.6887999999999</v>
      </c>
      <c r="Z63" s="5">
        <v>5578.5271000000002</v>
      </c>
      <c r="AA63" s="5">
        <v>1284.1949999999999</v>
      </c>
      <c r="AB63" s="5">
        <v>12869.24</v>
      </c>
      <c r="AC63" s="5">
        <v>296.95</v>
      </c>
      <c r="AD63" s="5">
        <v>136.72200000000001</v>
      </c>
    </row>
    <row r="64" spans="5:30" ht="15">
      <c r="E64" s="9">
        <v>36007</v>
      </c>
      <c r="F64" s="5">
        <v>137.09</v>
      </c>
      <c r="G64" s="5">
        <v>277.41879999999998</v>
      </c>
      <c r="H64" s="5">
        <v>349.02359999999999</v>
      </c>
      <c r="I64" s="5">
        <v>805.56</v>
      </c>
      <c r="J64" s="5">
        <v>205.8691</v>
      </c>
      <c r="K64" s="5">
        <v>836.54</v>
      </c>
      <c r="L64" s="5">
        <v>976.4</v>
      </c>
      <c r="M64" s="5">
        <v>967.74</v>
      </c>
      <c r="N64" s="5">
        <v>969.89</v>
      </c>
      <c r="O64" s="5">
        <v>1016.57</v>
      </c>
      <c r="P64" s="5">
        <v>553.47</v>
      </c>
      <c r="Q64" s="5">
        <v>157.02000000000001</v>
      </c>
      <c r="R64" s="5">
        <v>1120.67</v>
      </c>
      <c r="S64" s="5">
        <v>1082.74</v>
      </c>
      <c r="T64" s="5">
        <v>259.12</v>
      </c>
      <c r="U64" s="5">
        <v>339.83</v>
      </c>
      <c r="V64" s="5">
        <v>2572.643</v>
      </c>
      <c r="W64" s="5">
        <v>4110.5096999999996</v>
      </c>
      <c r="X64" s="5">
        <v>5459.4588000000003</v>
      </c>
      <c r="Y64" s="5">
        <v>3433.0902999999998</v>
      </c>
      <c r="Z64" s="5">
        <v>5591.3577999999998</v>
      </c>
      <c r="AA64" s="5">
        <v>1200.0060000000001</v>
      </c>
      <c r="AB64" s="5">
        <v>12095.81</v>
      </c>
      <c r="AC64" s="5">
        <v>286.45</v>
      </c>
      <c r="AD64" s="5">
        <v>128.48699999999999</v>
      </c>
    </row>
    <row r="65" spans="5:30" ht="15">
      <c r="E65" s="9">
        <v>36038</v>
      </c>
      <c r="F65" s="5">
        <v>137.78</v>
      </c>
      <c r="G65" s="5">
        <v>280.78190000000001</v>
      </c>
      <c r="H65" s="5">
        <v>358.40820000000002</v>
      </c>
      <c r="I65" s="5">
        <v>818.67</v>
      </c>
      <c r="J65" s="5">
        <v>209.39349999999999</v>
      </c>
      <c r="K65" s="5">
        <v>844.13</v>
      </c>
      <c r="L65" s="5">
        <v>980.97</v>
      </c>
      <c r="M65" s="5">
        <v>973.85</v>
      </c>
      <c r="N65" s="5">
        <v>973.86</v>
      </c>
      <c r="O65" s="5">
        <v>1025.02</v>
      </c>
      <c r="P65" s="5">
        <v>522.92999999999995</v>
      </c>
      <c r="Q65" s="5">
        <v>114.09</v>
      </c>
      <c r="R65" s="5">
        <v>957.28</v>
      </c>
      <c r="S65" s="5">
        <v>937.09</v>
      </c>
      <c r="T65" s="5">
        <v>222.45</v>
      </c>
      <c r="U65" s="5">
        <v>240.31</v>
      </c>
      <c r="V65" s="5">
        <v>2373.2631999999999</v>
      </c>
      <c r="W65" s="5">
        <v>3744.6743999999999</v>
      </c>
      <c r="X65" s="5">
        <v>5041.8101999999999</v>
      </c>
      <c r="Y65" s="5">
        <v>3233.9711000000002</v>
      </c>
      <c r="Z65" s="5">
        <v>5384.4775</v>
      </c>
      <c r="AA65" s="5">
        <v>1075.8430000000001</v>
      </c>
      <c r="AB65" s="5">
        <v>9527.91</v>
      </c>
      <c r="AC65" s="5">
        <v>275.55</v>
      </c>
      <c r="AD65" s="5">
        <v>120.346</v>
      </c>
    </row>
    <row r="66" spans="5:30" ht="15">
      <c r="E66" s="9">
        <v>36068</v>
      </c>
      <c r="F66" s="5">
        <v>138.54</v>
      </c>
      <c r="G66" s="5">
        <v>284.58890000000002</v>
      </c>
      <c r="H66" s="5">
        <v>368.40949999999998</v>
      </c>
      <c r="I66" s="5">
        <v>837.84</v>
      </c>
      <c r="J66" s="5">
        <v>214.15469999999999</v>
      </c>
      <c r="K66" s="5">
        <v>854.32</v>
      </c>
      <c r="L66" s="5">
        <v>1012.75</v>
      </c>
      <c r="M66" s="5">
        <v>1008.11</v>
      </c>
      <c r="N66" s="5">
        <v>1000.19</v>
      </c>
      <c r="O66" s="5">
        <v>1066.21</v>
      </c>
      <c r="P66" s="5">
        <v>525.29</v>
      </c>
      <c r="Q66" s="5">
        <v>123.95</v>
      </c>
      <c r="R66" s="5">
        <v>1017.01</v>
      </c>
      <c r="S66" s="5">
        <v>952.39</v>
      </c>
      <c r="T66" s="5">
        <v>226.53</v>
      </c>
      <c r="U66" s="5">
        <v>254.87</v>
      </c>
      <c r="V66" s="5">
        <v>2302.3026</v>
      </c>
      <c r="W66" s="5">
        <v>3721.4573999999998</v>
      </c>
      <c r="X66" s="5">
        <v>5201.1314000000002</v>
      </c>
      <c r="Y66" s="5">
        <v>3240.1156000000001</v>
      </c>
      <c r="Z66" s="5">
        <v>5357.5550999999996</v>
      </c>
      <c r="AA66" s="5">
        <v>1144.1300000000001</v>
      </c>
      <c r="AB66" s="5">
        <v>10038.27</v>
      </c>
      <c r="AC66" s="5">
        <v>296.95</v>
      </c>
      <c r="AD66" s="5">
        <v>129.68299999999999</v>
      </c>
    </row>
    <row r="67" spans="5:30" ht="15">
      <c r="E67" s="9">
        <v>36098</v>
      </c>
      <c r="F67" s="5">
        <v>139.11000000000001</v>
      </c>
      <c r="G67" s="5">
        <v>286.04090000000002</v>
      </c>
      <c r="H67" s="5">
        <v>367.14150000000001</v>
      </c>
      <c r="I67" s="5">
        <v>833.42</v>
      </c>
      <c r="J67" s="5">
        <v>213.55940000000001</v>
      </c>
      <c r="K67" s="5">
        <v>853.22</v>
      </c>
      <c r="L67" s="5">
        <v>997.13</v>
      </c>
      <c r="M67" s="5">
        <v>988.48</v>
      </c>
      <c r="N67" s="5">
        <v>987.01</v>
      </c>
      <c r="O67" s="5">
        <v>1048.3</v>
      </c>
      <c r="P67" s="5">
        <v>514.53</v>
      </c>
      <c r="Q67" s="5">
        <v>131.87</v>
      </c>
      <c r="R67" s="5">
        <v>1098.67</v>
      </c>
      <c r="S67" s="5">
        <v>1037.21</v>
      </c>
      <c r="T67" s="5">
        <v>246.87</v>
      </c>
      <c r="U67" s="5">
        <v>281.39999999999998</v>
      </c>
      <c r="V67" s="5">
        <v>2255.5657999999999</v>
      </c>
      <c r="W67" s="5">
        <v>3767.9756000000002</v>
      </c>
      <c r="X67" s="5">
        <v>5329.5992999999999</v>
      </c>
      <c r="Y67" s="5">
        <v>3224.5630999999998</v>
      </c>
      <c r="Z67" s="5">
        <v>5259.5119000000004</v>
      </c>
      <c r="AA67" s="5">
        <v>1112.972</v>
      </c>
      <c r="AB67" s="5">
        <v>10349.469999999999</v>
      </c>
      <c r="AC67" s="5">
        <v>292.55</v>
      </c>
      <c r="AD67" s="5">
        <v>125.82599999999999</v>
      </c>
    </row>
    <row r="68" spans="5:30" ht="15">
      <c r="E68" s="9">
        <v>36129</v>
      </c>
      <c r="F68" s="5">
        <v>139.51</v>
      </c>
      <c r="G68" s="5">
        <v>285.71629999999999</v>
      </c>
      <c r="H68" s="5">
        <v>367.18389999999999</v>
      </c>
      <c r="I68" s="5">
        <v>838.14</v>
      </c>
      <c r="J68" s="5">
        <v>215.33279999999999</v>
      </c>
      <c r="K68" s="5">
        <v>857.47</v>
      </c>
      <c r="L68" s="5">
        <v>1015.92</v>
      </c>
      <c r="M68" s="5">
        <v>1009.5</v>
      </c>
      <c r="N68" s="5">
        <v>1006.28</v>
      </c>
      <c r="O68" s="5">
        <v>1061.43</v>
      </c>
      <c r="P68" s="5">
        <v>535.88</v>
      </c>
      <c r="Q68" s="5">
        <v>140.91</v>
      </c>
      <c r="R68" s="5">
        <v>1163.6300000000001</v>
      </c>
      <c r="S68" s="5">
        <v>1097.6199999999999</v>
      </c>
      <c r="T68" s="5">
        <v>261.52999999999997</v>
      </c>
      <c r="U68" s="5">
        <v>304.52999999999997</v>
      </c>
      <c r="V68" s="5">
        <v>2260.0770000000002</v>
      </c>
      <c r="W68" s="5">
        <v>3859.5374000000002</v>
      </c>
      <c r="X68" s="5">
        <v>5534.2559000000001</v>
      </c>
      <c r="Y68" s="5">
        <v>3278.0907999999999</v>
      </c>
      <c r="Z68" s="5">
        <v>5363.6502</v>
      </c>
      <c r="AA68" s="5">
        <v>1133.232</v>
      </c>
      <c r="AB68" s="5">
        <v>11146.13</v>
      </c>
      <c r="AC68" s="5">
        <v>293.2</v>
      </c>
      <c r="AD68" s="5">
        <v>116.76</v>
      </c>
    </row>
    <row r="69" spans="5:30" ht="15">
      <c r="E69" s="9">
        <v>36160</v>
      </c>
      <c r="F69" s="5">
        <v>140.06</v>
      </c>
      <c r="G69" s="5">
        <v>286.73820000000001</v>
      </c>
      <c r="H69" s="5">
        <v>367.87650000000002</v>
      </c>
      <c r="I69" s="5">
        <v>840.66</v>
      </c>
      <c r="J69" s="5">
        <v>214.93430000000001</v>
      </c>
      <c r="K69" s="5">
        <v>861.11</v>
      </c>
      <c r="L69" s="5">
        <v>1018.87</v>
      </c>
      <c r="M69" s="5">
        <v>1010.64</v>
      </c>
      <c r="N69" s="5">
        <v>1008.98</v>
      </c>
      <c r="O69" s="5">
        <v>1069.98</v>
      </c>
      <c r="P69" s="5">
        <v>536.47</v>
      </c>
      <c r="Q69" s="5">
        <v>138.18</v>
      </c>
      <c r="R69" s="5">
        <v>1229.23</v>
      </c>
      <c r="S69" s="5">
        <v>1149.95</v>
      </c>
      <c r="T69" s="5">
        <v>273.3</v>
      </c>
      <c r="U69" s="5">
        <v>298.97000000000003</v>
      </c>
      <c r="V69" s="5">
        <v>2330.5913999999998</v>
      </c>
      <c r="W69" s="5">
        <v>3964.9027999999998</v>
      </c>
      <c r="X69" s="5">
        <v>5832.5523000000003</v>
      </c>
      <c r="Y69" s="5">
        <v>3298.7428</v>
      </c>
      <c r="Z69" s="5">
        <v>5494.5232999999998</v>
      </c>
      <c r="AA69" s="5">
        <v>1099.0940000000001</v>
      </c>
      <c r="AB69" s="5">
        <v>11469.1</v>
      </c>
      <c r="AC69" s="5">
        <v>288.25</v>
      </c>
      <c r="AD69" s="5">
        <v>112.79600000000001</v>
      </c>
    </row>
    <row r="70" spans="5:30" ht="15">
      <c r="E70" s="9">
        <v>36189</v>
      </c>
      <c r="F70" s="5">
        <v>140.6</v>
      </c>
      <c r="G70" s="5">
        <v>287.84800000000001</v>
      </c>
      <c r="H70" s="5">
        <v>370.13209999999998</v>
      </c>
      <c r="I70" s="5">
        <v>846.66</v>
      </c>
      <c r="J70" s="5">
        <v>217.58690000000001</v>
      </c>
      <c r="K70" s="5">
        <v>867.24</v>
      </c>
      <c r="L70" s="5">
        <v>1028.94</v>
      </c>
      <c r="M70" s="5">
        <v>1021.91</v>
      </c>
      <c r="N70" s="5">
        <v>1017.86</v>
      </c>
      <c r="O70" s="5">
        <v>1080.56</v>
      </c>
      <c r="P70" s="5">
        <v>544.42999999999995</v>
      </c>
      <c r="Q70" s="5">
        <v>135.04</v>
      </c>
      <c r="R70" s="5">
        <v>1279.6400000000001</v>
      </c>
      <c r="S70" s="5">
        <v>1173.8399999999999</v>
      </c>
      <c r="T70" s="5">
        <v>278.55</v>
      </c>
      <c r="U70" s="5">
        <v>293.91000000000003</v>
      </c>
      <c r="V70" s="5">
        <v>2368.3470000000002</v>
      </c>
      <c r="W70" s="5">
        <v>4030.3236999999999</v>
      </c>
      <c r="X70" s="5">
        <v>6123.0135</v>
      </c>
      <c r="Y70" s="5">
        <v>3384.84</v>
      </c>
      <c r="Z70" s="5">
        <v>5539.0289000000002</v>
      </c>
      <c r="AA70" s="5">
        <v>1077.241</v>
      </c>
      <c r="AB70" s="5">
        <v>12023.69</v>
      </c>
      <c r="AC70" s="5">
        <v>286.14999999999998</v>
      </c>
      <c r="AD70" s="5">
        <v>112.304</v>
      </c>
    </row>
    <row r="71" spans="5:30" ht="15">
      <c r="E71" s="9">
        <v>36217</v>
      </c>
      <c r="F71" s="5">
        <v>141.01</v>
      </c>
      <c r="G71" s="5">
        <v>286.56790000000001</v>
      </c>
      <c r="H71" s="5">
        <v>360.77159999999998</v>
      </c>
      <c r="I71" s="5">
        <v>831.88</v>
      </c>
      <c r="J71" s="5">
        <v>214.8623</v>
      </c>
      <c r="K71" s="5">
        <v>863.81</v>
      </c>
      <c r="L71" s="5">
        <v>1004.52</v>
      </c>
      <c r="M71" s="5">
        <v>994.38</v>
      </c>
      <c r="N71" s="5">
        <v>998.86</v>
      </c>
      <c r="O71" s="5">
        <v>1055.49</v>
      </c>
      <c r="P71" s="5">
        <v>541.23</v>
      </c>
      <c r="Q71" s="5">
        <v>136.37</v>
      </c>
      <c r="R71" s="5">
        <v>1238.33</v>
      </c>
      <c r="S71" s="5">
        <v>1141.33</v>
      </c>
      <c r="T71" s="5">
        <v>271.20999999999998</v>
      </c>
      <c r="U71" s="5">
        <v>296.56</v>
      </c>
      <c r="V71" s="5">
        <v>2361.7156</v>
      </c>
      <c r="W71" s="5">
        <v>4010.9780999999998</v>
      </c>
      <c r="X71" s="5">
        <v>5975.4488000000001</v>
      </c>
      <c r="Y71" s="5">
        <v>3388.5632999999998</v>
      </c>
      <c r="Z71" s="5">
        <v>5470.3450000000003</v>
      </c>
      <c r="AA71" s="5">
        <v>1048.316</v>
      </c>
      <c r="AB71" s="5">
        <v>11214.45</v>
      </c>
      <c r="AC71" s="5">
        <v>287.05</v>
      </c>
      <c r="AD71" s="5">
        <v>108.39100000000001</v>
      </c>
    </row>
    <row r="72" spans="5:30" ht="15">
      <c r="E72" s="9">
        <v>36250</v>
      </c>
      <c r="F72" s="5">
        <v>141.62</v>
      </c>
      <c r="G72" s="5">
        <v>288.49009999999998</v>
      </c>
      <c r="H72" s="5">
        <v>362.19940000000003</v>
      </c>
      <c r="I72" s="5">
        <v>836.49</v>
      </c>
      <c r="J72" s="5">
        <v>216.55950000000001</v>
      </c>
      <c r="K72" s="5">
        <v>869.61</v>
      </c>
      <c r="L72" s="5">
        <v>1011.63</v>
      </c>
      <c r="M72" s="5">
        <v>1000.41</v>
      </c>
      <c r="N72" s="5">
        <v>1006.63</v>
      </c>
      <c r="O72" s="5">
        <v>1063.02</v>
      </c>
      <c r="P72" s="5">
        <v>546.39</v>
      </c>
      <c r="Q72" s="5">
        <v>145.41</v>
      </c>
      <c r="R72" s="5">
        <v>1286.3699999999999</v>
      </c>
      <c r="S72" s="5">
        <v>1187.55</v>
      </c>
      <c r="T72" s="5">
        <v>283.04000000000002</v>
      </c>
      <c r="U72" s="5">
        <v>334.75</v>
      </c>
      <c r="V72" s="5">
        <v>2413.6732999999999</v>
      </c>
      <c r="W72" s="5">
        <v>4093.6043</v>
      </c>
      <c r="X72" s="5">
        <v>6217.4544999999998</v>
      </c>
      <c r="Y72" s="5">
        <v>3407.8780999999999</v>
      </c>
      <c r="Z72" s="5">
        <v>5528.8775999999998</v>
      </c>
      <c r="AA72" s="5">
        <v>1043.0530000000001</v>
      </c>
      <c r="AB72" s="5">
        <v>11113.33</v>
      </c>
      <c r="AC72" s="5">
        <v>280.05</v>
      </c>
      <c r="AD72" s="5">
        <v>118.779</v>
      </c>
    </row>
    <row r="73" spans="5:30" ht="15">
      <c r="E73" s="9">
        <v>36280</v>
      </c>
      <c r="F73" s="5">
        <v>142.13</v>
      </c>
      <c r="G73" s="5">
        <v>289.43040000000002</v>
      </c>
      <c r="H73" s="5">
        <v>363.00830000000002</v>
      </c>
      <c r="I73" s="5">
        <v>839.14</v>
      </c>
      <c r="J73" s="5">
        <v>218.21119999999999</v>
      </c>
      <c r="K73" s="5">
        <v>873.62</v>
      </c>
      <c r="L73" s="5">
        <v>1014.59</v>
      </c>
      <c r="M73" s="5">
        <v>1001.4</v>
      </c>
      <c r="N73" s="5">
        <v>1010.25</v>
      </c>
      <c r="O73" s="5">
        <v>1064.93</v>
      </c>
      <c r="P73" s="5">
        <v>556.98</v>
      </c>
      <c r="Q73" s="5">
        <v>154.35</v>
      </c>
      <c r="R73" s="5">
        <v>1335.18</v>
      </c>
      <c r="S73" s="5">
        <v>1233.06</v>
      </c>
      <c r="T73" s="5">
        <v>294.92</v>
      </c>
      <c r="U73" s="5">
        <v>375.66</v>
      </c>
      <c r="V73" s="5">
        <v>2501.5309999999999</v>
      </c>
      <c r="W73" s="5">
        <v>4303.6062000000002</v>
      </c>
      <c r="X73" s="5">
        <v>6543.8708999999999</v>
      </c>
      <c r="Y73" s="5">
        <v>3503.2986999999998</v>
      </c>
      <c r="Z73" s="5">
        <v>5742.2923000000001</v>
      </c>
      <c r="AA73" s="5">
        <v>1144.3320000000001</v>
      </c>
      <c r="AB73" s="5">
        <v>12152.53</v>
      </c>
      <c r="AC73" s="5">
        <v>286.55</v>
      </c>
      <c r="AD73" s="5">
        <v>123.581</v>
      </c>
    </row>
    <row r="74" spans="5:30" ht="15">
      <c r="E74" s="9">
        <v>36311</v>
      </c>
      <c r="F74" s="5">
        <v>142.63999999999999</v>
      </c>
      <c r="G74" s="5">
        <v>289.233</v>
      </c>
      <c r="H74" s="5">
        <v>359.76229999999998</v>
      </c>
      <c r="I74" s="5">
        <v>831.79</v>
      </c>
      <c r="J74" s="5">
        <v>216.9538</v>
      </c>
      <c r="K74" s="5">
        <v>868.74</v>
      </c>
      <c r="L74" s="5">
        <v>1001.02</v>
      </c>
      <c r="M74" s="5">
        <v>987.31</v>
      </c>
      <c r="N74" s="5">
        <v>998.51</v>
      </c>
      <c r="O74" s="5">
        <v>1051.82</v>
      </c>
      <c r="P74" s="5">
        <v>549.44000000000005</v>
      </c>
      <c r="Q74" s="5">
        <v>146.38</v>
      </c>
      <c r="R74" s="5">
        <v>1301.8399999999999</v>
      </c>
      <c r="S74" s="5">
        <v>1186.7</v>
      </c>
      <c r="T74" s="5">
        <v>284.11</v>
      </c>
      <c r="U74" s="5">
        <v>372.33</v>
      </c>
      <c r="V74" s="5">
        <v>2525.0454</v>
      </c>
      <c r="W74" s="5">
        <v>4389.6782999999996</v>
      </c>
      <c r="X74" s="5">
        <v>6623.7061000000003</v>
      </c>
      <c r="Y74" s="5">
        <v>3544.2873</v>
      </c>
      <c r="Z74" s="5">
        <v>5690.6117000000004</v>
      </c>
      <c r="AA74" s="5">
        <v>1169.5129999999999</v>
      </c>
      <c r="AB74" s="5">
        <v>12515.64</v>
      </c>
      <c r="AC74" s="5">
        <v>270.35000000000002</v>
      </c>
      <c r="AD74" s="5">
        <v>115.98699999999999</v>
      </c>
    </row>
    <row r="75" spans="5:30" ht="15">
      <c r="E75" s="9">
        <v>36341</v>
      </c>
      <c r="F75" s="5">
        <v>143.19</v>
      </c>
      <c r="G75" s="5">
        <v>290.12990000000002</v>
      </c>
      <c r="H75" s="5">
        <v>358.87990000000002</v>
      </c>
      <c r="I75" s="5">
        <v>829.14</v>
      </c>
      <c r="J75" s="5">
        <v>214.96279999999999</v>
      </c>
      <c r="K75" s="5">
        <v>865.68</v>
      </c>
      <c r="L75" s="5">
        <v>995.8</v>
      </c>
      <c r="M75" s="5">
        <v>980.44</v>
      </c>
      <c r="N75" s="5">
        <v>994.06</v>
      </c>
      <c r="O75" s="5">
        <v>1047.2</v>
      </c>
      <c r="P75" s="5">
        <v>548.27</v>
      </c>
      <c r="Q75" s="5">
        <v>152</v>
      </c>
      <c r="R75" s="5">
        <v>1372.71</v>
      </c>
      <c r="S75" s="5">
        <v>1240.75</v>
      </c>
      <c r="T75" s="5">
        <v>297.89</v>
      </c>
      <c r="U75" s="5">
        <v>413.81</v>
      </c>
      <c r="V75" s="5">
        <v>2609.1293999999998</v>
      </c>
      <c r="W75" s="5">
        <v>4518.2959000000001</v>
      </c>
      <c r="X75" s="5">
        <v>6875.4069</v>
      </c>
      <c r="Y75" s="5">
        <v>3592.8440000000001</v>
      </c>
      <c r="Z75" s="5">
        <v>5813.5289000000002</v>
      </c>
      <c r="AA75" s="5">
        <v>1153.4169999999999</v>
      </c>
      <c r="AB75" s="5">
        <v>13050.81</v>
      </c>
      <c r="AC75" s="5">
        <v>262.5</v>
      </c>
      <c r="AD75" s="5">
        <v>122.46899999999999</v>
      </c>
    </row>
    <row r="76" spans="5:30" ht="15">
      <c r="E76" s="9">
        <v>36371</v>
      </c>
      <c r="F76" s="5">
        <v>143.78</v>
      </c>
      <c r="G76" s="5">
        <v>291.08319999999998</v>
      </c>
      <c r="H76" s="5">
        <v>358.5761</v>
      </c>
      <c r="I76" s="5">
        <v>825.61</v>
      </c>
      <c r="J76" s="5">
        <v>214.0692</v>
      </c>
      <c r="K76" s="5">
        <v>859.81</v>
      </c>
      <c r="L76" s="5">
        <v>990.29</v>
      </c>
      <c r="M76" s="5">
        <v>974.79</v>
      </c>
      <c r="N76" s="5">
        <v>988.84</v>
      </c>
      <c r="O76" s="5">
        <v>1041.53</v>
      </c>
      <c r="P76" s="5">
        <v>550.47</v>
      </c>
      <c r="Q76" s="5">
        <v>149.47</v>
      </c>
      <c r="R76" s="5">
        <v>1328.72</v>
      </c>
      <c r="S76" s="5">
        <v>1235.7</v>
      </c>
      <c r="T76" s="5">
        <v>296.31</v>
      </c>
      <c r="U76" s="5">
        <v>401.94</v>
      </c>
      <c r="V76" s="5">
        <v>2620.3487</v>
      </c>
      <c r="W76" s="5">
        <v>4554.8941000000004</v>
      </c>
      <c r="X76" s="5">
        <v>6917.3468999999996</v>
      </c>
      <c r="Y76" s="5">
        <v>3622.6646000000001</v>
      </c>
      <c r="Z76" s="5">
        <v>5840.2710999999999</v>
      </c>
      <c r="AA76" s="5">
        <v>1111.085</v>
      </c>
      <c r="AB76" s="5">
        <v>13160.69</v>
      </c>
      <c r="AC76" s="5">
        <v>255.95</v>
      </c>
      <c r="AD76" s="5">
        <v>124.623</v>
      </c>
    </row>
    <row r="77" spans="5:30" ht="15">
      <c r="E77" s="9">
        <v>36403</v>
      </c>
      <c r="F77" s="5">
        <v>144.30000000000001</v>
      </c>
      <c r="G77" s="5">
        <v>291.91770000000002</v>
      </c>
      <c r="H77" s="5">
        <v>358.64870000000002</v>
      </c>
      <c r="I77" s="5">
        <v>825.19</v>
      </c>
      <c r="J77" s="5">
        <v>214.22909999999999</v>
      </c>
      <c r="K77" s="5">
        <v>859.78</v>
      </c>
      <c r="L77" s="5">
        <v>987.88</v>
      </c>
      <c r="M77" s="5">
        <v>970.87</v>
      </c>
      <c r="N77" s="5">
        <v>987.92</v>
      </c>
      <c r="O77" s="5">
        <v>1036.98</v>
      </c>
      <c r="P77" s="5">
        <v>544.39</v>
      </c>
      <c r="Q77" s="5">
        <v>149.57</v>
      </c>
      <c r="R77" s="5">
        <v>1320.41</v>
      </c>
      <c r="S77" s="5">
        <v>1232.1600000000001</v>
      </c>
      <c r="T77" s="5">
        <v>295.60000000000002</v>
      </c>
      <c r="U77" s="5">
        <v>405.3</v>
      </c>
      <c r="V77" s="5">
        <v>2625.8514</v>
      </c>
      <c r="W77" s="5">
        <v>4519.3658999999998</v>
      </c>
      <c r="X77" s="5">
        <v>6920.1138000000001</v>
      </c>
      <c r="Y77" s="5">
        <v>3651.6460000000002</v>
      </c>
      <c r="Z77" s="5">
        <v>5808.1496999999999</v>
      </c>
      <c r="AA77" s="5">
        <v>1086.8330000000001</v>
      </c>
      <c r="AB77" s="5">
        <v>12777.92</v>
      </c>
      <c r="AC77" s="5">
        <v>255.68</v>
      </c>
      <c r="AD77" s="5">
        <v>131.852</v>
      </c>
    </row>
    <row r="78" spans="5:30" ht="15">
      <c r="E78" s="9">
        <v>36433</v>
      </c>
      <c r="F78" s="5">
        <v>144.94999999999999</v>
      </c>
      <c r="G78" s="5">
        <v>293.82490000000001</v>
      </c>
      <c r="H78" s="5">
        <v>361.43900000000002</v>
      </c>
      <c r="I78" s="5">
        <v>834.77</v>
      </c>
      <c r="J78" s="5">
        <v>215.5189</v>
      </c>
      <c r="K78" s="5">
        <v>873.73</v>
      </c>
      <c r="L78" s="5">
        <v>998.61</v>
      </c>
      <c r="M78" s="5">
        <v>980.41</v>
      </c>
      <c r="N78" s="5">
        <v>999.13</v>
      </c>
      <c r="O78" s="5">
        <v>1048.27</v>
      </c>
      <c r="P78" s="5">
        <v>540.47</v>
      </c>
      <c r="Q78" s="5">
        <v>154.27000000000001</v>
      </c>
      <c r="R78" s="5">
        <v>1282.71</v>
      </c>
      <c r="S78" s="5">
        <v>1218.9000000000001</v>
      </c>
      <c r="T78" s="5">
        <v>292.06</v>
      </c>
      <c r="U78" s="5">
        <v>391.07</v>
      </c>
      <c r="V78" s="5">
        <v>2604.0569</v>
      </c>
      <c r="W78" s="5">
        <v>4592.5796</v>
      </c>
      <c r="X78" s="5">
        <v>6944.3342000000002</v>
      </c>
      <c r="Y78" s="5">
        <v>3669.1738999999998</v>
      </c>
      <c r="Z78" s="5">
        <v>5870.8777</v>
      </c>
      <c r="AA78" s="5">
        <v>1046.385</v>
      </c>
      <c r="AB78" s="5">
        <v>12710.32</v>
      </c>
      <c r="AC78" s="5">
        <v>298.75</v>
      </c>
      <c r="AD78" s="5">
        <v>138.71199999999999</v>
      </c>
    </row>
    <row r="79" spans="5:30" ht="15">
      <c r="E79" s="9">
        <v>36462</v>
      </c>
      <c r="F79" s="5">
        <v>145.49</v>
      </c>
      <c r="G79" s="5">
        <v>294.54730000000001</v>
      </c>
      <c r="H79" s="5">
        <v>361.8707</v>
      </c>
      <c r="I79" s="5">
        <v>837.85</v>
      </c>
      <c r="J79" s="5">
        <v>216.08940000000001</v>
      </c>
      <c r="K79" s="5">
        <v>878.76</v>
      </c>
      <c r="L79" s="5">
        <v>1003.2</v>
      </c>
      <c r="M79" s="5">
        <v>983.2</v>
      </c>
      <c r="N79" s="5">
        <v>1005.49</v>
      </c>
      <c r="O79" s="5">
        <v>1056.67</v>
      </c>
      <c r="P79" s="5">
        <v>536.88</v>
      </c>
      <c r="Q79" s="5">
        <v>159.72999999999999</v>
      </c>
      <c r="R79" s="5">
        <v>1362.93</v>
      </c>
      <c r="S79" s="5">
        <v>1280.94</v>
      </c>
      <c r="T79" s="5">
        <v>306.5</v>
      </c>
      <c r="U79" s="5">
        <v>399.05</v>
      </c>
      <c r="V79" s="5">
        <v>2637.9096</v>
      </c>
      <c r="W79" s="5">
        <v>4611.8684999999996</v>
      </c>
      <c r="X79" s="5">
        <v>7106.1372000000001</v>
      </c>
      <c r="Y79" s="5">
        <v>3688.6205</v>
      </c>
      <c r="Z79" s="5">
        <v>5826.8460999999998</v>
      </c>
      <c r="AA79" s="5">
        <v>1019.386</v>
      </c>
      <c r="AB79" s="5">
        <v>12632.99</v>
      </c>
      <c r="AC79" s="5">
        <v>299.2</v>
      </c>
      <c r="AD79" s="5">
        <v>133.214</v>
      </c>
    </row>
    <row r="80" spans="5:30" ht="15">
      <c r="E80" s="9">
        <v>36494</v>
      </c>
      <c r="F80" s="5">
        <v>146</v>
      </c>
      <c r="G80" s="5">
        <v>295.07</v>
      </c>
      <c r="H80" s="5">
        <v>361.19409999999999</v>
      </c>
      <c r="I80" s="5">
        <v>837.79</v>
      </c>
      <c r="J80" s="5">
        <v>216.85990000000001</v>
      </c>
      <c r="K80" s="5">
        <v>879.24</v>
      </c>
      <c r="L80" s="5">
        <v>1004.27</v>
      </c>
      <c r="M80" s="5">
        <v>982.27</v>
      </c>
      <c r="N80" s="5">
        <v>1008.18</v>
      </c>
      <c r="O80" s="5">
        <v>1055.92</v>
      </c>
      <c r="P80" s="5">
        <v>543.19000000000005</v>
      </c>
      <c r="Q80" s="5">
        <v>164.01</v>
      </c>
      <c r="R80" s="5">
        <v>1388.91</v>
      </c>
      <c r="S80" s="5">
        <v>1315.67</v>
      </c>
      <c r="T80" s="5">
        <v>315.68</v>
      </c>
      <c r="U80" s="5">
        <v>434.7</v>
      </c>
      <c r="V80" s="5">
        <v>2779.0378000000001</v>
      </c>
      <c r="W80" s="5">
        <v>4767.7496000000001</v>
      </c>
      <c r="X80" s="5">
        <v>7586.5120999999999</v>
      </c>
      <c r="Y80" s="5">
        <v>3728.4576000000002</v>
      </c>
      <c r="Z80" s="5">
        <v>6050.0142999999998</v>
      </c>
      <c r="AA80" s="5">
        <v>997.96090000000004</v>
      </c>
      <c r="AB80" s="5">
        <v>14118.68</v>
      </c>
      <c r="AC80" s="5">
        <v>290.7</v>
      </c>
      <c r="AD80" s="5">
        <v>136.33799999999999</v>
      </c>
    </row>
    <row r="81" spans="5:30" ht="15">
      <c r="E81" s="9">
        <v>36525</v>
      </c>
      <c r="F81" s="5">
        <v>146.63</v>
      </c>
      <c r="G81" s="5">
        <v>295.46260000000001</v>
      </c>
      <c r="H81" s="5">
        <v>358.86759999999998</v>
      </c>
      <c r="I81" s="5">
        <v>833.75</v>
      </c>
      <c r="J81" s="5">
        <v>216.62389999999999</v>
      </c>
      <c r="K81" s="5">
        <v>877.09</v>
      </c>
      <c r="L81" s="5">
        <v>998.95</v>
      </c>
      <c r="M81" s="5">
        <v>976.31</v>
      </c>
      <c r="N81" s="5">
        <v>1003.48</v>
      </c>
      <c r="O81" s="5">
        <v>1051.8800000000001</v>
      </c>
      <c r="P81" s="5">
        <v>549.29999999999995</v>
      </c>
      <c r="Q81" s="5">
        <v>171.59</v>
      </c>
      <c r="R81" s="5">
        <v>1469.25</v>
      </c>
      <c r="S81" s="5">
        <v>1420.88</v>
      </c>
      <c r="T81" s="5">
        <v>341.63</v>
      </c>
      <c r="U81" s="5">
        <v>489.42</v>
      </c>
      <c r="V81" s="5">
        <v>2993.8573999999999</v>
      </c>
      <c r="W81" s="5">
        <v>4929.3762999999999</v>
      </c>
      <c r="X81" s="5">
        <v>8411.9246000000003</v>
      </c>
      <c r="Y81" s="5">
        <v>3784.7573000000002</v>
      </c>
      <c r="Z81" s="5">
        <v>6462.6252999999997</v>
      </c>
      <c r="AA81" s="5">
        <v>1027.9169999999999</v>
      </c>
      <c r="AB81" s="5">
        <v>16170.54</v>
      </c>
      <c r="AC81" s="5">
        <v>288</v>
      </c>
      <c r="AD81" s="5">
        <v>140.25700000000001</v>
      </c>
    </row>
    <row r="82" spans="5:30" ht="15">
      <c r="E82" s="9">
        <v>36556</v>
      </c>
      <c r="F82" s="5">
        <v>147.24</v>
      </c>
      <c r="G82" s="5">
        <v>295.37569999999999</v>
      </c>
      <c r="H82" s="5">
        <v>359.7158</v>
      </c>
      <c r="I82" s="5">
        <v>831.02</v>
      </c>
      <c r="J82" s="5">
        <v>216.23089999999999</v>
      </c>
      <c r="K82" s="5">
        <v>869.49</v>
      </c>
      <c r="L82" s="5">
        <v>995.43</v>
      </c>
      <c r="M82" s="5">
        <v>972.69</v>
      </c>
      <c r="N82" s="5">
        <v>1000.03</v>
      </c>
      <c r="O82" s="5">
        <v>1049.01</v>
      </c>
      <c r="P82" s="5">
        <v>546.92999999999995</v>
      </c>
      <c r="Q82" s="5">
        <v>168.95</v>
      </c>
      <c r="R82" s="5">
        <v>1394.46</v>
      </c>
      <c r="S82" s="5">
        <v>1338.25</v>
      </c>
      <c r="T82" s="5">
        <v>322.83</v>
      </c>
      <c r="U82" s="5">
        <v>491.39</v>
      </c>
      <c r="V82" s="5">
        <v>3045.0524</v>
      </c>
      <c r="W82" s="5">
        <v>4965.8536999999997</v>
      </c>
      <c r="X82" s="5">
        <v>8432.9544000000005</v>
      </c>
      <c r="Y82" s="5">
        <v>3853.6399000000001</v>
      </c>
      <c r="Z82" s="5">
        <v>6536.2992000000004</v>
      </c>
      <c r="AA82" s="5">
        <v>1031.4090000000001</v>
      </c>
      <c r="AB82" s="5">
        <v>16916.150000000001</v>
      </c>
      <c r="AC82" s="5">
        <v>283.5</v>
      </c>
      <c r="AD82" s="5">
        <v>147.86099999999999</v>
      </c>
    </row>
    <row r="83" spans="5:30" ht="15">
      <c r="E83" s="9">
        <v>36585</v>
      </c>
      <c r="F83" s="5">
        <v>147.91</v>
      </c>
      <c r="G83" s="5">
        <v>297.3254</v>
      </c>
      <c r="H83" s="5">
        <v>365.12459999999999</v>
      </c>
      <c r="I83" s="5">
        <v>841.07</v>
      </c>
      <c r="J83" s="5">
        <v>218.28739999999999</v>
      </c>
      <c r="K83" s="5">
        <v>879.57</v>
      </c>
      <c r="L83" s="5">
        <v>1004.66</v>
      </c>
      <c r="M83" s="5">
        <v>983.14</v>
      </c>
      <c r="N83" s="5">
        <v>1006.31</v>
      </c>
      <c r="O83" s="5">
        <v>1057.18</v>
      </c>
      <c r="P83" s="5">
        <v>547.99</v>
      </c>
      <c r="Q83" s="5">
        <v>178.03</v>
      </c>
      <c r="R83" s="5">
        <v>1366.42</v>
      </c>
      <c r="S83" s="5">
        <v>1340.58</v>
      </c>
      <c r="T83" s="5">
        <v>323.58999999999997</v>
      </c>
      <c r="U83" s="5">
        <v>497.74</v>
      </c>
      <c r="V83" s="5">
        <v>3209.4852000000001</v>
      </c>
      <c r="W83" s="5">
        <v>5152.5698000000002</v>
      </c>
      <c r="X83" s="5">
        <v>9276.2499000000007</v>
      </c>
      <c r="Y83" s="5">
        <v>3902.5810999999999</v>
      </c>
      <c r="Z83" s="5">
        <v>6776.1814000000004</v>
      </c>
      <c r="AA83" s="5">
        <v>1017.948</v>
      </c>
      <c r="AB83" s="5">
        <v>21024.74</v>
      </c>
      <c r="AC83" s="5">
        <v>292.2</v>
      </c>
      <c r="AD83" s="5">
        <v>150.446</v>
      </c>
    </row>
    <row r="84" spans="5:30" ht="15">
      <c r="E84" s="9">
        <v>36616</v>
      </c>
      <c r="F84" s="5">
        <v>148.62</v>
      </c>
      <c r="G84" s="5">
        <v>299.15899999999999</v>
      </c>
      <c r="H84" s="5">
        <v>372.3492</v>
      </c>
      <c r="I84" s="5">
        <v>852.15</v>
      </c>
      <c r="J84" s="5">
        <v>221.1969</v>
      </c>
      <c r="K84" s="5">
        <v>889.19</v>
      </c>
      <c r="L84" s="5">
        <v>1013.22</v>
      </c>
      <c r="M84" s="5">
        <v>990.81</v>
      </c>
      <c r="N84" s="5">
        <v>1015.3</v>
      </c>
      <c r="O84" s="5">
        <v>1057.92</v>
      </c>
      <c r="P84" s="5">
        <v>536.47</v>
      </c>
      <c r="Q84" s="5">
        <v>182.87</v>
      </c>
      <c r="R84" s="5">
        <v>1498.58</v>
      </c>
      <c r="S84" s="5">
        <v>1431.94</v>
      </c>
      <c r="T84" s="5">
        <v>344.5</v>
      </c>
      <c r="U84" s="5">
        <v>499.4</v>
      </c>
      <c r="V84" s="5">
        <v>3209.8060999999998</v>
      </c>
      <c r="W84" s="5">
        <v>5154.1156000000001</v>
      </c>
      <c r="X84" s="5">
        <v>9436.7289999999994</v>
      </c>
      <c r="Y84" s="5">
        <v>3972.8276000000001</v>
      </c>
      <c r="Z84" s="5">
        <v>6622.3621000000003</v>
      </c>
      <c r="AA84" s="5">
        <v>1050.9480000000001</v>
      </c>
      <c r="AB84" s="5">
        <v>18989.740000000002</v>
      </c>
      <c r="AC84" s="5">
        <v>279.07</v>
      </c>
      <c r="AD84" s="5">
        <v>151.904</v>
      </c>
    </row>
    <row r="85" spans="5:30" ht="15">
      <c r="E85" s="9">
        <v>36644</v>
      </c>
      <c r="F85" s="5">
        <v>149.38999999999999</v>
      </c>
      <c r="G85" s="5">
        <v>299.90050000000002</v>
      </c>
      <c r="H85" s="5">
        <v>371.25049999999999</v>
      </c>
      <c r="I85" s="5">
        <v>849.71</v>
      </c>
      <c r="J85" s="5">
        <v>221.39080000000001</v>
      </c>
      <c r="K85" s="5">
        <v>889.8</v>
      </c>
      <c r="L85" s="5">
        <v>1004.32</v>
      </c>
      <c r="M85" s="5">
        <v>980.66</v>
      </c>
      <c r="N85" s="5">
        <v>1007.02</v>
      </c>
      <c r="O85" s="5">
        <v>1051.6500000000001</v>
      </c>
      <c r="P85" s="5">
        <v>537.33000000000004</v>
      </c>
      <c r="Q85" s="5">
        <v>179.5</v>
      </c>
      <c r="R85" s="5">
        <v>1452.43</v>
      </c>
      <c r="S85" s="5">
        <v>1370.11</v>
      </c>
      <c r="T85" s="5">
        <v>328.68</v>
      </c>
      <c r="U85" s="5">
        <v>451.36</v>
      </c>
      <c r="V85" s="5">
        <v>3074.3523</v>
      </c>
      <c r="W85" s="5">
        <v>5077.8347000000003</v>
      </c>
      <c r="X85" s="5">
        <v>9041.3300999999992</v>
      </c>
      <c r="Y85" s="5">
        <v>4028.8444</v>
      </c>
      <c r="Z85" s="5">
        <v>6378.6590999999999</v>
      </c>
      <c r="AA85" s="5">
        <v>1120.1679999999999</v>
      </c>
      <c r="AB85" s="5">
        <v>15985.04</v>
      </c>
      <c r="AC85" s="5">
        <v>273.55</v>
      </c>
      <c r="AD85" s="5">
        <v>150.03899999999999</v>
      </c>
    </row>
    <row r="86" spans="5:30" ht="15">
      <c r="E86" s="9">
        <v>36677</v>
      </c>
      <c r="F86" s="5">
        <v>150.18</v>
      </c>
      <c r="G86" s="5">
        <v>301.13619999999997</v>
      </c>
      <c r="H86" s="5">
        <v>371.7996</v>
      </c>
      <c r="I86" s="5">
        <v>849.32</v>
      </c>
      <c r="J86" s="5">
        <v>221.97280000000001</v>
      </c>
      <c r="K86" s="5">
        <v>890.21</v>
      </c>
      <c r="L86" s="5">
        <v>1000.58</v>
      </c>
      <c r="M86" s="5">
        <v>976.56</v>
      </c>
      <c r="N86" s="5">
        <v>1002.83</v>
      </c>
      <c r="O86" s="5">
        <v>1051.48</v>
      </c>
      <c r="P86" s="5">
        <v>531.82000000000005</v>
      </c>
      <c r="Q86" s="5">
        <v>175.35</v>
      </c>
      <c r="R86" s="5">
        <v>1420.6</v>
      </c>
      <c r="S86" s="5">
        <v>1334.14</v>
      </c>
      <c r="T86" s="5">
        <v>319.77999999999997</v>
      </c>
      <c r="U86" s="5">
        <v>431.7</v>
      </c>
      <c r="V86" s="5">
        <v>3019.0140000000001</v>
      </c>
      <c r="W86" s="5">
        <v>5038.7353999999996</v>
      </c>
      <c r="X86" s="5">
        <v>8820.7216000000008</v>
      </c>
      <c r="Y86" s="5">
        <v>4056.2406000000001</v>
      </c>
      <c r="Z86" s="5">
        <v>6280.4278000000004</v>
      </c>
      <c r="AA86" s="5">
        <v>1131.8920000000001</v>
      </c>
      <c r="AB86" s="5">
        <v>14496.58</v>
      </c>
      <c r="AC86" s="5">
        <v>272.10000000000002</v>
      </c>
      <c r="AD86" s="5">
        <v>160.137</v>
      </c>
    </row>
    <row r="87" spans="5:30" ht="15">
      <c r="E87" s="9">
        <v>36707</v>
      </c>
      <c r="F87" s="5">
        <v>150.9</v>
      </c>
      <c r="G87" s="5">
        <v>304.30059999999997</v>
      </c>
      <c r="H87" s="5">
        <v>378.07560000000001</v>
      </c>
      <c r="I87" s="5">
        <v>866.99</v>
      </c>
      <c r="J87" s="5">
        <v>224.733</v>
      </c>
      <c r="K87" s="5">
        <v>909.24</v>
      </c>
      <c r="L87" s="5">
        <v>1025.71</v>
      </c>
      <c r="M87" s="5">
        <v>1003.51</v>
      </c>
      <c r="N87" s="5">
        <v>1022.19</v>
      </c>
      <c r="O87" s="5">
        <v>1083.7</v>
      </c>
      <c r="P87" s="5">
        <v>542.65</v>
      </c>
      <c r="Q87" s="5">
        <v>183.52</v>
      </c>
      <c r="R87" s="5">
        <v>1454.6</v>
      </c>
      <c r="S87" s="5">
        <v>1377.72</v>
      </c>
      <c r="T87" s="5">
        <v>330.21</v>
      </c>
      <c r="U87" s="5">
        <v>445.52</v>
      </c>
      <c r="V87" s="5">
        <v>3109.8863000000001</v>
      </c>
      <c r="W87" s="5">
        <v>5185.8663999999999</v>
      </c>
      <c r="X87" s="5">
        <v>9248.5265999999992</v>
      </c>
      <c r="Y87" s="5">
        <v>4144.6665999999996</v>
      </c>
      <c r="Z87" s="5">
        <v>6358.3050999999996</v>
      </c>
      <c r="AA87" s="5">
        <v>1161.923</v>
      </c>
      <c r="AB87" s="5">
        <v>16416.419999999998</v>
      </c>
      <c r="AC87" s="5">
        <v>289.52</v>
      </c>
      <c r="AD87" s="5">
        <v>163.916</v>
      </c>
    </row>
    <row r="88" spans="5:30" ht="15">
      <c r="E88" s="9">
        <v>36738</v>
      </c>
      <c r="F88" s="5">
        <v>151.6</v>
      </c>
      <c r="G88" s="5">
        <v>306.20830000000001</v>
      </c>
      <c r="H88" s="5">
        <v>381.92790000000002</v>
      </c>
      <c r="I88" s="5">
        <v>874.86</v>
      </c>
      <c r="J88" s="5">
        <v>226.48670000000001</v>
      </c>
      <c r="K88" s="5">
        <v>915.08</v>
      </c>
      <c r="L88" s="5">
        <v>1038.1500000000001</v>
      </c>
      <c r="M88" s="5">
        <v>1014.95</v>
      </c>
      <c r="N88" s="5">
        <v>1035.02</v>
      </c>
      <c r="O88" s="5">
        <v>1099.67</v>
      </c>
      <c r="P88" s="5">
        <v>546.79</v>
      </c>
      <c r="Q88" s="5">
        <v>188.76</v>
      </c>
      <c r="R88" s="5">
        <v>1430.83</v>
      </c>
      <c r="S88" s="5">
        <v>1337.65</v>
      </c>
      <c r="T88" s="5">
        <v>320.16000000000003</v>
      </c>
      <c r="U88" s="5">
        <v>422.08</v>
      </c>
      <c r="V88" s="5">
        <v>3098.3797</v>
      </c>
      <c r="W88" s="5">
        <v>5193.6451999999999</v>
      </c>
      <c r="X88" s="5">
        <v>9102.3999000000003</v>
      </c>
      <c r="Y88" s="5">
        <v>4183.2120000000004</v>
      </c>
      <c r="Z88" s="5">
        <v>6361.4841999999999</v>
      </c>
      <c r="AA88" s="5">
        <v>1260.6590000000001</v>
      </c>
      <c r="AB88" s="5">
        <v>15629.41</v>
      </c>
      <c r="AC88" s="5">
        <v>277.25</v>
      </c>
      <c r="AD88" s="5">
        <v>155.70400000000001</v>
      </c>
    </row>
    <row r="89" spans="5:30" ht="15">
      <c r="E89" s="9">
        <v>36769</v>
      </c>
      <c r="F89" s="5">
        <v>152.34</v>
      </c>
      <c r="G89" s="5">
        <v>308.4633</v>
      </c>
      <c r="H89" s="5">
        <v>387.49279999999999</v>
      </c>
      <c r="I89" s="5">
        <v>887.54</v>
      </c>
      <c r="J89" s="5">
        <v>228.1489</v>
      </c>
      <c r="K89" s="5">
        <v>928.95</v>
      </c>
      <c r="L89" s="5">
        <v>1051.1400000000001</v>
      </c>
      <c r="M89" s="5">
        <v>1026.83</v>
      </c>
      <c r="N89" s="5">
        <v>1049</v>
      </c>
      <c r="O89" s="5">
        <v>1114.31</v>
      </c>
      <c r="P89" s="5">
        <v>550.53</v>
      </c>
      <c r="Q89" s="5">
        <v>194.78</v>
      </c>
      <c r="R89" s="5">
        <v>1517.68</v>
      </c>
      <c r="S89" s="5">
        <v>1379.87</v>
      </c>
      <c r="T89" s="5">
        <v>329.76</v>
      </c>
      <c r="U89" s="5">
        <v>423.56</v>
      </c>
      <c r="V89" s="5">
        <v>3146.4045999999998</v>
      </c>
      <c r="W89" s="5">
        <v>5298.0375000000004</v>
      </c>
      <c r="X89" s="5">
        <v>9589.3783000000003</v>
      </c>
      <c r="Y89" s="5">
        <v>4249.7250999999997</v>
      </c>
      <c r="Z89" s="5">
        <v>6471.5379000000003</v>
      </c>
      <c r="AA89" s="5">
        <v>1210.663</v>
      </c>
      <c r="AB89" s="5">
        <v>16822.3</v>
      </c>
      <c r="AC89" s="5">
        <v>277.85000000000002</v>
      </c>
      <c r="AD89" s="5">
        <v>171.018</v>
      </c>
    </row>
    <row r="90" spans="5:30" ht="15">
      <c r="E90" s="9">
        <v>36798</v>
      </c>
      <c r="F90" s="5">
        <v>153.19</v>
      </c>
      <c r="G90" s="5">
        <v>310.70760000000001</v>
      </c>
      <c r="H90" s="5">
        <v>387.84249999999997</v>
      </c>
      <c r="I90" s="5">
        <v>893.12</v>
      </c>
      <c r="J90" s="5">
        <v>230.0034</v>
      </c>
      <c r="K90" s="5">
        <v>938.58</v>
      </c>
      <c r="L90" s="5">
        <v>1056.9000000000001</v>
      </c>
      <c r="M90" s="5">
        <v>1029.3499999999999</v>
      </c>
      <c r="N90" s="5">
        <v>1059.8499999999999</v>
      </c>
      <c r="O90" s="5">
        <v>1118.1300000000001</v>
      </c>
      <c r="P90" s="5">
        <v>545.72</v>
      </c>
      <c r="Q90" s="5">
        <v>192.68</v>
      </c>
      <c r="R90" s="5">
        <v>1436.51</v>
      </c>
      <c r="S90" s="5">
        <v>1305.24</v>
      </c>
      <c r="T90" s="5">
        <v>311.31</v>
      </c>
      <c r="U90" s="5">
        <v>386.03</v>
      </c>
      <c r="V90" s="5">
        <v>3106.4452999999999</v>
      </c>
      <c r="W90" s="5">
        <v>5331.4151000000002</v>
      </c>
      <c r="X90" s="5">
        <v>9485.8130000000001</v>
      </c>
      <c r="Y90" s="5">
        <v>4288.3976000000002</v>
      </c>
      <c r="Z90" s="5">
        <v>6329.8112000000001</v>
      </c>
      <c r="AA90" s="5">
        <v>1249.595</v>
      </c>
      <c r="AB90" s="5">
        <v>16563.45</v>
      </c>
      <c r="AC90" s="5">
        <v>274.25</v>
      </c>
      <c r="AD90" s="5">
        <v>169.95599999999999</v>
      </c>
    </row>
    <row r="91" spans="5:30" ht="15">
      <c r="E91" s="9">
        <v>36830</v>
      </c>
      <c r="F91" s="5">
        <v>153.96</v>
      </c>
      <c r="G91" s="5">
        <v>312.38130000000001</v>
      </c>
      <c r="H91" s="5">
        <v>391.60890000000001</v>
      </c>
      <c r="I91" s="5">
        <v>899.03</v>
      </c>
      <c r="J91" s="5">
        <v>231.72559999999999</v>
      </c>
      <c r="K91" s="5">
        <v>945.32</v>
      </c>
      <c r="L91" s="5">
        <v>1057.1600000000001</v>
      </c>
      <c r="M91" s="5">
        <v>1027.8</v>
      </c>
      <c r="N91" s="5">
        <v>1061.31</v>
      </c>
      <c r="O91" s="5">
        <v>1124.4100000000001</v>
      </c>
      <c r="P91" s="5">
        <v>528.24</v>
      </c>
      <c r="Q91" s="5">
        <v>188.77</v>
      </c>
      <c r="R91" s="5">
        <v>1429.4</v>
      </c>
      <c r="S91" s="5">
        <v>1282.1400000000001</v>
      </c>
      <c r="T91" s="5">
        <v>304.89</v>
      </c>
      <c r="U91" s="5">
        <v>357.85</v>
      </c>
      <c r="V91" s="5">
        <v>3071.3424</v>
      </c>
      <c r="W91" s="5">
        <v>5261.0403999999999</v>
      </c>
      <c r="X91" s="5">
        <v>9295.1481000000003</v>
      </c>
      <c r="Y91" s="5">
        <v>4269.0998</v>
      </c>
      <c r="Z91" s="5">
        <v>6283.6036000000004</v>
      </c>
      <c r="AA91" s="5">
        <v>1196.018</v>
      </c>
      <c r="AB91" s="5">
        <v>15100.22</v>
      </c>
      <c r="AC91" s="5">
        <v>265.14999999999998</v>
      </c>
      <c r="AD91" s="5">
        <v>165.84700000000001</v>
      </c>
    </row>
    <row r="92" spans="5:30" ht="15">
      <c r="E92" s="9">
        <v>36860</v>
      </c>
      <c r="F92" s="5">
        <v>154.80000000000001</v>
      </c>
      <c r="G92" s="5">
        <v>315.32330000000002</v>
      </c>
      <c r="H92" s="5">
        <v>399.6121</v>
      </c>
      <c r="I92" s="5">
        <v>913.73</v>
      </c>
      <c r="J92" s="5">
        <v>235.62469999999999</v>
      </c>
      <c r="K92" s="5">
        <v>959.54</v>
      </c>
      <c r="L92" s="5">
        <v>1069.71</v>
      </c>
      <c r="M92" s="5">
        <v>1039.99</v>
      </c>
      <c r="N92" s="5">
        <v>1071.6099999999999</v>
      </c>
      <c r="O92" s="5">
        <v>1147.21</v>
      </c>
      <c r="P92" s="5">
        <v>507.32</v>
      </c>
      <c r="Q92" s="5">
        <v>188.01</v>
      </c>
      <c r="R92" s="5">
        <v>1314.95</v>
      </c>
      <c r="S92" s="5">
        <v>1203.05</v>
      </c>
      <c r="T92" s="5">
        <v>285.68</v>
      </c>
      <c r="U92" s="5">
        <v>326.36</v>
      </c>
      <c r="V92" s="5">
        <v>3036.9434000000001</v>
      </c>
      <c r="W92" s="5">
        <v>5138.9843000000001</v>
      </c>
      <c r="X92" s="5">
        <v>8895.4567999999999</v>
      </c>
      <c r="Y92" s="5">
        <v>4264.8307000000004</v>
      </c>
      <c r="Z92" s="5">
        <v>6299.3126000000002</v>
      </c>
      <c r="AA92" s="5">
        <v>1210.2570000000001</v>
      </c>
      <c r="AB92" s="5">
        <v>13103.99</v>
      </c>
      <c r="AC92" s="5">
        <v>270.45</v>
      </c>
      <c r="AD92" s="5">
        <v>179.184</v>
      </c>
    </row>
    <row r="93" spans="5:30" ht="15">
      <c r="E93" s="9">
        <v>36889</v>
      </c>
      <c r="F93" s="5">
        <v>155.74</v>
      </c>
      <c r="G93" s="5">
        <v>319.11520000000002</v>
      </c>
      <c r="H93" s="5">
        <v>407.2527</v>
      </c>
      <c r="I93" s="5">
        <v>930.68</v>
      </c>
      <c r="J93" s="5">
        <v>239.01910000000001</v>
      </c>
      <c r="K93" s="5">
        <v>974.99</v>
      </c>
      <c r="L93" s="5">
        <v>1089.6500000000001</v>
      </c>
      <c r="M93" s="5">
        <v>1057.1500000000001</v>
      </c>
      <c r="N93" s="5">
        <v>1099.33</v>
      </c>
      <c r="O93" s="5">
        <v>1151.3</v>
      </c>
      <c r="P93" s="5">
        <v>517.12</v>
      </c>
      <c r="Q93" s="5">
        <v>196.31</v>
      </c>
      <c r="R93" s="5">
        <v>1320.28</v>
      </c>
      <c r="S93" s="5">
        <v>1221.25</v>
      </c>
      <c r="T93" s="5">
        <v>290.11</v>
      </c>
      <c r="U93" s="5">
        <v>333.79</v>
      </c>
      <c r="V93" s="5">
        <v>3067.9202</v>
      </c>
      <c r="W93" s="5">
        <v>5261.8059999999996</v>
      </c>
      <c r="X93" s="5">
        <v>9176.5532000000003</v>
      </c>
      <c r="Y93" s="5">
        <v>4292.1256000000003</v>
      </c>
      <c r="Z93" s="5">
        <v>6589.7109</v>
      </c>
      <c r="AA93" s="5">
        <v>1294.047</v>
      </c>
      <c r="AB93" s="5">
        <v>13212.15</v>
      </c>
      <c r="AC93" s="5">
        <v>272.25</v>
      </c>
      <c r="AD93" s="5">
        <v>184.917</v>
      </c>
    </row>
    <row r="94" spans="5:30" ht="15">
      <c r="E94" s="9">
        <v>36922</v>
      </c>
      <c r="F94" s="5">
        <v>156.75</v>
      </c>
      <c r="G94" s="5">
        <v>323.12569999999999</v>
      </c>
      <c r="H94" s="5">
        <v>410.42140000000001</v>
      </c>
      <c r="I94" s="5">
        <v>945.9</v>
      </c>
      <c r="J94" s="5">
        <v>242.29570000000001</v>
      </c>
      <c r="K94" s="5">
        <v>990.17</v>
      </c>
      <c r="L94" s="5">
        <v>1120.8399999999999</v>
      </c>
      <c r="M94" s="5">
        <v>1092.27</v>
      </c>
      <c r="N94" s="5">
        <v>1125.95</v>
      </c>
      <c r="O94" s="5">
        <v>1174.92</v>
      </c>
      <c r="P94" s="5">
        <v>555.86</v>
      </c>
      <c r="Q94" s="5">
        <v>205.78</v>
      </c>
      <c r="R94" s="5">
        <v>1366.01</v>
      </c>
      <c r="S94" s="5">
        <v>1244.22</v>
      </c>
      <c r="T94" s="5">
        <v>297.27</v>
      </c>
      <c r="U94" s="5">
        <v>379.02</v>
      </c>
      <c r="V94" s="5">
        <v>3121.6088</v>
      </c>
      <c r="W94" s="5">
        <v>5503.3229000000001</v>
      </c>
      <c r="X94" s="5">
        <v>9440.8379000000004</v>
      </c>
      <c r="Y94" s="5">
        <v>4379.6850000000004</v>
      </c>
      <c r="Z94" s="5">
        <v>6731.3896999999997</v>
      </c>
      <c r="AA94" s="5">
        <v>1312.883</v>
      </c>
      <c r="AB94" s="5">
        <v>15178.17</v>
      </c>
      <c r="AC94" s="5">
        <v>265.85000000000002</v>
      </c>
      <c r="AD94" s="5">
        <v>180.57300000000001</v>
      </c>
    </row>
    <row r="95" spans="5:30" ht="15">
      <c r="E95" s="9">
        <v>36950</v>
      </c>
      <c r="F95" s="5">
        <v>157.35</v>
      </c>
      <c r="G95" s="5">
        <v>325.26760000000002</v>
      </c>
      <c r="H95" s="5">
        <v>415.4264</v>
      </c>
      <c r="I95" s="5">
        <v>954.14</v>
      </c>
      <c r="J95" s="5">
        <v>244.42840000000001</v>
      </c>
      <c r="K95" s="5">
        <v>995.84</v>
      </c>
      <c r="L95" s="5">
        <v>1130.31</v>
      </c>
      <c r="M95" s="5">
        <v>1098.47</v>
      </c>
      <c r="N95" s="5">
        <v>1139.47</v>
      </c>
      <c r="O95" s="5">
        <v>1186.25</v>
      </c>
      <c r="P95" s="5">
        <v>563.26</v>
      </c>
      <c r="Q95" s="5">
        <v>203.04</v>
      </c>
      <c r="R95" s="5">
        <v>1239.94</v>
      </c>
      <c r="S95" s="5">
        <v>1137.8800000000001</v>
      </c>
      <c r="T95" s="5">
        <v>271.97000000000003</v>
      </c>
      <c r="U95" s="5">
        <v>349.02</v>
      </c>
      <c r="V95" s="5">
        <v>3108.4980999999998</v>
      </c>
      <c r="W95" s="5">
        <v>5482.4102999999996</v>
      </c>
      <c r="X95" s="5">
        <v>9199.1525000000001</v>
      </c>
      <c r="Y95" s="5">
        <v>4425.6716999999999</v>
      </c>
      <c r="Z95" s="5">
        <v>6616.2830000000004</v>
      </c>
      <c r="AA95" s="5">
        <v>1295.873</v>
      </c>
      <c r="AB95" s="5">
        <v>13936.71</v>
      </c>
      <c r="AC95" s="5">
        <v>267.14999999999998</v>
      </c>
      <c r="AD95" s="5">
        <v>179.81200000000001</v>
      </c>
    </row>
    <row r="96" spans="5:30" ht="15">
      <c r="E96" s="9">
        <v>36980</v>
      </c>
      <c r="F96" s="5">
        <v>158.13</v>
      </c>
      <c r="G96" s="5">
        <v>327.9674</v>
      </c>
      <c r="H96" s="5">
        <v>416.79109999999997</v>
      </c>
      <c r="I96" s="5">
        <v>958.93</v>
      </c>
      <c r="J96" s="5">
        <v>246.03919999999999</v>
      </c>
      <c r="K96" s="5">
        <v>1001.62</v>
      </c>
      <c r="L96" s="5">
        <v>1137.25</v>
      </c>
      <c r="M96" s="5">
        <v>1104.67</v>
      </c>
      <c r="N96" s="5">
        <v>1147.94</v>
      </c>
      <c r="O96" s="5">
        <v>1190.53</v>
      </c>
      <c r="P96" s="5">
        <v>550</v>
      </c>
      <c r="Q96" s="5">
        <v>200.77</v>
      </c>
      <c r="R96" s="5">
        <v>1160.33</v>
      </c>
      <c r="S96" s="5">
        <v>1061.26</v>
      </c>
      <c r="T96" s="5">
        <v>253.12</v>
      </c>
      <c r="U96" s="5">
        <v>313.14</v>
      </c>
      <c r="V96" s="5">
        <v>3104.7678999999998</v>
      </c>
      <c r="W96" s="5">
        <v>5468.7043000000003</v>
      </c>
      <c r="X96" s="5">
        <v>8987.5720000000001</v>
      </c>
      <c r="Y96" s="5">
        <v>4437.1783999999998</v>
      </c>
      <c r="Z96" s="5">
        <v>6671.1980999999996</v>
      </c>
      <c r="AA96" s="5">
        <v>1307.675</v>
      </c>
      <c r="AB96" s="5">
        <v>13290.24</v>
      </c>
      <c r="AC96" s="5">
        <v>257.95</v>
      </c>
      <c r="AD96" s="5">
        <v>172.15100000000001</v>
      </c>
    </row>
    <row r="97" spans="5:30" ht="15">
      <c r="E97" s="9">
        <v>37011</v>
      </c>
      <c r="F97" s="5">
        <v>158.80000000000001</v>
      </c>
      <c r="G97" s="5">
        <v>328.82060000000001</v>
      </c>
      <c r="H97" s="5">
        <v>411.65780000000001</v>
      </c>
      <c r="I97" s="5">
        <v>954.95</v>
      </c>
      <c r="J97" s="5">
        <v>244.8569</v>
      </c>
      <c r="K97" s="5">
        <v>1003.01</v>
      </c>
      <c r="L97" s="5">
        <v>1133.53</v>
      </c>
      <c r="M97" s="5">
        <v>1099.67</v>
      </c>
      <c r="N97" s="5">
        <v>1147.74</v>
      </c>
      <c r="O97" s="5">
        <v>1180.45</v>
      </c>
      <c r="P97" s="5">
        <v>543.15</v>
      </c>
      <c r="Q97" s="5">
        <v>199.8</v>
      </c>
      <c r="R97" s="5">
        <v>1249.46</v>
      </c>
      <c r="S97" s="5">
        <v>1138.0899999999999</v>
      </c>
      <c r="T97" s="5">
        <v>271.08999999999997</v>
      </c>
      <c r="U97" s="5">
        <v>327.71</v>
      </c>
      <c r="V97" s="5">
        <v>3123.3964999999998</v>
      </c>
      <c r="W97" s="5">
        <v>5535.9692999999997</v>
      </c>
      <c r="X97" s="5">
        <v>9191.5899000000009</v>
      </c>
      <c r="Y97" s="5">
        <v>4470.9009999999998</v>
      </c>
      <c r="Z97" s="5">
        <v>6663.1926999999996</v>
      </c>
      <c r="AA97" s="5">
        <v>1342.0630000000001</v>
      </c>
      <c r="AB97" s="5">
        <v>14018.97</v>
      </c>
      <c r="AC97" s="5">
        <v>264.05</v>
      </c>
      <c r="AD97" s="5">
        <v>178.208</v>
      </c>
    </row>
    <row r="98" spans="5:30" ht="15">
      <c r="E98" s="9">
        <v>37042</v>
      </c>
      <c r="F98" s="5">
        <v>159.41999999999999</v>
      </c>
      <c r="G98" s="5">
        <v>330.62979999999999</v>
      </c>
      <c r="H98" s="5">
        <v>413.03879999999998</v>
      </c>
      <c r="I98" s="5">
        <v>960.71</v>
      </c>
      <c r="J98" s="5">
        <v>246.3151</v>
      </c>
      <c r="K98" s="5">
        <v>1009.66</v>
      </c>
      <c r="L98" s="5">
        <v>1143.5899999999999</v>
      </c>
      <c r="M98" s="5">
        <v>1111.25</v>
      </c>
      <c r="N98" s="5">
        <v>1156.07</v>
      </c>
      <c r="O98" s="5">
        <v>1187.81</v>
      </c>
      <c r="P98" s="5">
        <v>552.92999999999995</v>
      </c>
      <c r="Q98" s="5">
        <v>204.62</v>
      </c>
      <c r="R98" s="5">
        <v>1255.82</v>
      </c>
      <c r="S98" s="5">
        <v>1121.0899999999999</v>
      </c>
      <c r="T98" s="5">
        <v>267.37</v>
      </c>
      <c r="U98" s="5">
        <v>330.54</v>
      </c>
      <c r="V98" s="5">
        <v>3154.9427999999998</v>
      </c>
      <c r="W98" s="5">
        <v>5643.3671000000004</v>
      </c>
      <c r="X98" s="5">
        <v>9274.3142000000007</v>
      </c>
      <c r="Y98" s="5">
        <v>4512.4803000000002</v>
      </c>
      <c r="Z98" s="5">
        <v>6656.5294999999996</v>
      </c>
      <c r="AA98" s="5">
        <v>1376.0630000000001</v>
      </c>
      <c r="AB98" s="5">
        <v>15479.08</v>
      </c>
      <c r="AC98" s="5">
        <v>265.85000000000002</v>
      </c>
      <c r="AD98" s="5">
        <v>174.471</v>
      </c>
    </row>
    <row r="99" spans="5:30" ht="15">
      <c r="E99" s="9">
        <v>37071</v>
      </c>
      <c r="F99" s="5">
        <v>159.88</v>
      </c>
      <c r="G99" s="5">
        <v>331.75909999999999</v>
      </c>
      <c r="H99" s="5">
        <v>415.19409999999999</v>
      </c>
      <c r="I99" s="5">
        <v>964.34</v>
      </c>
      <c r="J99" s="5">
        <v>247.54740000000001</v>
      </c>
      <c r="K99" s="5">
        <v>1011.82</v>
      </c>
      <c r="L99" s="5">
        <v>1149.31</v>
      </c>
      <c r="M99" s="5">
        <v>1116.23</v>
      </c>
      <c r="N99" s="5">
        <v>1162.3900000000001</v>
      </c>
      <c r="O99" s="5">
        <v>1195.01</v>
      </c>
      <c r="P99" s="5">
        <v>537.41999999999996</v>
      </c>
      <c r="Q99" s="5">
        <v>207.74</v>
      </c>
      <c r="R99" s="5">
        <v>1224.42</v>
      </c>
      <c r="S99" s="5">
        <v>1084.79</v>
      </c>
      <c r="T99" s="5">
        <v>258.83999999999997</v>
      </c>
      <c r="U99" s="5">
        <v>322.89</v>
      </c>
      <c r="V99" s="5">
        <v>3155.5738000000001</v>
      </c>
      <c r="W99" s="5">
        <v>5706.0084999999999</v>
      </c>
      <c r="X99" s="5">
        <v>9244.6363999999994</v>
      </c>
      <c r="Y99" s="5">
        <v>4502.1016</v>
      </c>
      <c r="Z99" s="5">
        <v>6685.1525000000001</v>
      </c>
      <c r="AA99" s="5">
        <v>1456.511</v>
      </c>
      <c r="AB99" s="5">
        <v>15933.11</v>
      </c>
      <c r="AC99" s="5">
        <v>270.85000000000002</v>
      </c>
      <c r="AD99" s="5">
        <v>167.51300000000001</v>
      </c>
    </row>
    <row r="100" spans="5:30" ht="15">
      <c r="E100" s="9">
        <v>37103</v>
      </c>
      <c r="F100" s="5">
        <v>160.4</v>
      </c>
      <c r="G100" s="5">
        <v>335.512</v>
      </c>
      <c r="H100" s="5">
        <v>425.47539999999998</v>
      </c>
      <c r="I100" s="5">
        <v>985.9</v>
      </c>
      <c r="J100" s="5">
        <v>251.2097</v>
      </c>
      <c r="K100" s="5">
        <v>1029.78</v>
      </c>
      <c r="L100" s="5">
        <v>1180.46</v>
      </c>
      <c r="M100" s="5">
        <v>1148.1500000000001</v>
      </c>
      <c r="N100" s="5">
        <v>1190.3599999999999</v>
      </c>
      <c r="O100" s="5">
        <v>1231.3499999999999</v>
      </c>
      <c r="P100" s="5">
        <v>545.33000000000004</v>
      </c>
      <c r="Q100" s="5">
        <v>196.98</v>
      </c>
      <c r="R100" s="5">
        <v>1211.23</v>
      </c>
      <c r="S100" s="5">
        <v>1069.67</v>
      </c>
      <c r="T100" s="5">
        <v>254.54</v>
      </c>
      <c r="U100" s="5">
        <v>301.67</v>
      </c>
      <c r="V100" s="5">
        <v>3137.587</v>
      </c>
      <c r="W100" s="5">
        <v>5723.1265000000003</v>
      </c>
      <c r="X100" s="5">
        <v>9146.6432000000004</v>
      </c>
      <c r="Y100" s="5">
        <v>4533.6163999999999</v>
      </c>
      <c r="Z100" s="5">
        <v>6665.0971</v>
      </c>
      <c r="AA100" s="5">
        <v>1431.317</v>
      </c>
      <c r="AB100" s="5">
        <v>15458.33</v>
      </c>
      <c r="AC100" s="5">
        <v>266.64999999999998</v>
      </c>
      <c r="AD100" s="5">
        <v>169.69399999999999</v>
      </c>
    </row>
    <row r="101" spans="5:30" ht="15">
      <c r="E101" s="9">
        <v>37134</v>
      </c>
      <c r="F101" s="5">
        <v>160.91</v>
      </c>
      <c r="G101" s="5">
        <v>337.55169999999998</v>
      </c>
      <c r="H101" s="5">
        <v>430.97160000000002</v>
      </c>
      <c r="I101" s="5">
        <v>997.19</v>
      </c>
      <c r="J101" s="5">
        <v>253.5504</v>
      </c>
      <c r="K101" s="5">
        <v>1038.8699999999999</v>
      </c>
      <c r="L101" s="5">
        <v>1195.79</v>
      </c>
      <c r="M101" s="5">
        <v>1163.29</v>
      </c>
      <c r="N101" s="5">
        <v>1205.06</v>
      </c>
      <c r="O101" s="5">
        <v>1248.8699999999999</v>
      </c>
      <c r="P101" s="5">
        <v>551.76</v>
      </c>
      <c r="Q101" s="5">
        <v>205.8</v>
      </c>
      <c r="R101" s="5">
        <v>1133.58</v>
      </c>
      <c r="S101" s="5">
        <v>1016.73</v>
      </c>
      <c r="T101" s="5">
        <v>242.41</v>
      </c>
      <c r="U101" s="5">
        <v>298.17</v>
      </c>
      <c r="V101" s="5">
        <v>3152.6473999999998</v>
      </c>
      <c r="W101" s="5">
        <v>5796.9548999999997</v>
      </c>
      <c r="X101" s="5">
        <v>9035.0542000000005</v>
      </c>
      <c r="Y101" s="5">
        <v>4572.1521000000002</v>
      </c>
      <c r="Z101" s="5">
        <v>6703.0880999999999</v>
      </c>
      <c r="AA101" s="5">
        <v>1479.8009999999999</v>
      </c>
      <c r="AB101" s="5">
        <v>14922.21</v>
      </c>
      <c r="AC101" s="5">
        <v>274.39999999999998</v>
      </c>
      <c r="AD101" s="5">
        <v>169.62</v>
      </c>
    </row>
    <row r="102" spans="5:30" ht="15">
      <c r="E102" s="9">
        <v>37162</v>
      </c>
      <c r="F102" s="5">
        <v>161.63</v>
      </c>
      <c r="G102" s="5">
        <v>343.0215</v>
      </c>
      <c r="H102" s="5">
        <v>437.90620000000001</v>
      </c>
      <c r="I102" s="5">
        <v>1008.81</v>
      </c>
      <c r="J102" s="5">
        <v>255.58879999999999</v>
      </c>
      <c r="K102" s="5">
        <v>1054.43</v>
      </c>
      <c r="L102" s="5">
        <v>1191.78</v>
      </c>
      <c r="M102" s="5">
        <v>1151.58</v>
      </c>
      <c r="N102" s="5">
        <v>1210.72</v>
      </c>
      <c r="O102" s="5">
        <v>1252.02</v>
      </c>
      <c r="P102" s="5">
        <v>514.67999999999995</v>
      </c>
      <c r="Q102" s="5">
        <v>199.07</v>
      </c>
      <c r="R102" s="5">
        <v>1040.94</v>
      </c>
      <c r="S102" s="5">
        <v>926.02</v>
      </c>
      <c r="T102" s="5">
        <v>219.96</v>
      </c>
      <c r="U102" s="5">
        <v>251.4</v>
      </c>
      <c r="V102" s="5">
        <v>3090.2249999999999</v>
      </c>
      <c r="W102" s="5">
        <v>5607.9741999999997</v>
      </c>
      <c r="X102" s="5">
        <v>8698.0467000000008</v>
      </c>
      <c r="Y102" s="5">
        <v>4583.1252999999997</v>
      </c>
      <c r="Z102" s="5">
        <v>6745.3176000000003</v>
      </c>
      <c r="AA102" s="5">
        <v>1420.491</v>
      </c>
      <c r="AB102" s="5">
        <v>13126.12</v>
      </c>
      <c r="AC102" s="5">
        <v>293.25</v>
      </c>
      <c r="AD102" s="5">
        <v>158.178</v>
      </c>
    </row>
    <row r="103" spans="5:30" ht="15">
      <c r="E103" s="9">
        <v>37195</v>
      </c>
      <c r="F103" s="5">
        <v>162.05000000000001</v>
      </c>
      <c r="G103" s="5">
        <v>346.19929999999999</v>
      </c>
      <c r="H103" s="5">
        <v>449.80770000000001</v>
      </c>
      <c r="I103" s="5">
        <v>1029.92</v>
      </c>
      <c r="J103" s="5">
        <v>260.238</v>
      </c>
      <c r="K103" s="5">
        <v>1069.01</v>
      </c>
      <c r="L103" s="5">
        <v>1221.1099999999999</v>
      </c>
      <c r="M103" s="5">
        <v>1185.8</v>
      </c>
      <c r="N103" s="5">
        <v>1233.76</v>
      </c>
      <c r="O103" s="5">
        <v>1275.21</v>
      </c>
      <c r="P103" s="5">
        <v>527.41</v>
      </c>
      <c r="Q103" s="5">
        <v>199.18</v>
      </c>
      <c r="R103" s="5">
        <v>1059.78</v>
      </c>
      <c r="S103" s="5">
        <v>943.2</v>
      </c>
      <c r="T103" s="5">
        <v>224.48</v>
      </c>
      <c r="U103" s="5">
        <v>266.86</v>
      </c>
      <c r="V103" s="5">
        <v>3108.7662999999998</v>
      </c>
      <c r="W103" s="5">
        <v>5724.0591999999997</v>
      </c>
      <c r="X103" s="5">
        <v>8858.9604999999992</v>
      </c>
      <c r="Y103" s="5">
        <v>4622.0817999999999</v>
      </c>
      <c r="Z103" s="5">
        <v>6928.1157000000003</v>
      </c>
      <c r="AA103" s="5">
        <v>1382.22</v>
      </c>
      <c r="AB103" s="5">
        <v>14220.13</v>
      </c>
      <c r="AC103" s="5">
        <v>279.64999999999998</v>
      </c>
      <c r="AD103" s="5">
        <v>150.66999999999999</v>
      </c>
    </row>
    <row r="104" spans="5:30" ht="15">
      <c r="E104" s="9">
        <v>37225</v>
      </c>
      <c r="F104" s="5">
        <v>162.38</v>
      </c>
      <c r="G104" s="5">
        <v>345.46789999999999</v>
      </c>
      <c r="H104" s="5">
        <v>438.85849999999999</v>
      </c>
      <c r="I104" s="5">
        <v>1015.72</v>
      </c>
      <c r="J104" s="5">
        <v>258.06439999999998</v>
      </c>
      <c r="K104" s="5">
        <v>1059.1300000000001</v>
      </c>
      <c r="L104" s="5">
        <v>1210.79</v>
      </c>
      <c r="M104" s="5">
        <v>1177.76</v>
      </c>
      <c r="N104" s="5">
        <v>1227.5</v>
      </c>
      <c r="O104" s="5">
        <v>1239.6600000000001</v>
      </c>
      <c r="P104" s="5">
        <v>546.65</v>
      </c>
      <c r="Q104" s="5">
        <v>196.63</v>
      </c>
      <c r="R104" s="5">
        <v>1139.45</v>
      </c>
      <c r="S104" s="5">
        <v>997.93</v>
      </c>
      <c r="T104" s="5">
        <v>238</v>
      </c>
      <c r="U104" s="5">
        <v>294.43</v>
      </c>
      <c r="V104" s="5">
        <v>3120.8905</v>
      </c>
      <c r="W104" s="5">
        <v>5815.0717999999997</v>
      </c>
      <c r="X104" s="5">
        <v>9033.482</v>
      </c>
      <c r="Y104" s="5">
        <v>4647.0411000000004</v>
      </c>
      <c r="Z104" s="5">
        <v>6937.8150999999998</v>
      </c>
      <c r="AA104" s="5">
        <v>1456.2139999999999</v>
      </c>
      <c r="AB104" s="5">
        <v>15281.86</v>
      </c>
      <c r="AC104" s="5">
        <v>274.39999999999998</v>
      </c>
      <c r="AD104" s="5">
        <v>151.834</v>
      </c>
    </row>
    <row r="105" spans="5:30" ht="15">
      <c r="E105" s="9">
        <v>37256</v>
      </c>
      <c r="F105" s="5">
        <v>162.63999999999999</v>
      </c>
      <c r="G105" s="5">
        <v>345.61869999999999</v>
      </c>
      <c r="H105" s="5">
        <v>434.66579999999999</v>
      </c>
      <c r="I105" s="5">
        <v>1009.27</v>
      </c>
      <c r="J105" s="5">
        <v>256.32740000000001</v>
      </c>
      <c r="K105" s="5">
        <v>1055.1400000000001</v>
      </c>
      <c r="L105" s="5">
        <v>1202.03</v>
      </c>
      <c r="M105" s="5">
        <v>1171.42</v>
      </c>
      <c r="N105" s="5">
        <v>1218.81</v>
      </c>
      <c r="O105" s="5">
        <v>1218.67</v>
      </c>
      <c r="P105" s="5">
        <v>544.41999999999996</v>
      </c>
      <c r="Q105" s="5">
        <v>198.98</v>
      </c>
      <c r="R105" s="5">
        <v>1148.08</v>
      </c>
      <c r="S105" s="5">
        <v>1003.52</v>
      </c>
      <c r="T105" s="5">
        <v>240.03</v>
      </c>
      <c r="U105" s="5">
        <v>317.39999999999998</v>
      </c>
      <c r="V105" s="5">
        <v>3153.6599000000001</v>
      </c>
      <c r="W105" s="5">
        <v>5902.8792999999996</v>
      </c>
      <c r="X105" s="5">
        <v>9213.2482999999993</v>
      </c>
      <c r="Y105" s="5">
        <v>4674.9233000000004</v>
      </c>
      <c r="Z105" s="5">
        <v>7042.5761000000002</v>
      </c>
      <c r="AA105" s="5">
        <v>1494.6510000000001</v>
      </c>
      <c r="AB105" s="5">
        <v>16423.59</v>
      </c>
      <c r="AC105" s="5">
        <v>278.95</v>
      </c>
      <c r="AD105" s="5">
        <v>148.84299999999999</v>
      </c>
    </row>
    <row r="106" spans="5:30" ht="15">
      <c r="E106" s="9">
        <v>37287</v>
      </c>
      <c r="F106" s="5">
        <v>162.87</v>
      </c>
      <c r="G106" s="5">
        <v>346.30939999999998</v>
      </c>
      <c r="H106" s="5">
        <v>437.50979999999998</v>
      </c>
      <c r="I106" s="5">
        <v>1017.44</v>
      </c>
      <c r="J106" s="5">
        <v>257.53429999999997</v>
      </c>
      <c r="K106" s="5">
        <v>1064.9100000000001</v>
      </c>
      <c r="L106" s="5">
        <v>1212.23</v>
      </c>
      <c r="M106" s="5">
        <v>1179.71</v>
      </c>
      <c r="N106" s="5">
        <v>1229.8699999999999</v>
      </c>
      <c r="O106" s="5">
        <v>1235.47</v>
      </c>
      <c r="P106" s="5">
        <v>548.21</v>
      </c>
      <c r="Q106" s="5">
        <v>202.66</v>
      </c>
      <c r="R106" s="5">
        <v>1130.2</v>
      </c>
      <c r="S106" s="5">
        <v>972.42</v>
      </c>
      <c r="T106" s="5">
        <v>233.26</v>
      </c>
      <c r="U106" s="5">
        <v>327.75</v>
      </c>
      <c r="V106" s="5">
        <v>3167.9830000000002</v>
      </c>
      <c r="W106" s="5">
        <v>5949.2617</v>
      </c>
      <c r="X106" s="5">
        <v>9233.9519999999993</v>
      </c>
      <c r="Y106" s="5">
        <v>4722.9107999999997</v>
      </c>
      <c r="Z106" s="5">
        <v>7071.5432000000001</v>
      </c>
      <c r="AA106" s="5">
        <v>1500.3389999999999</v>
      </c>
      <c r="AB106" s="5">
        <v>16643.54</v>
      </c>
      <c r="AC106" s="5">
        <v>282.55</v>
      </c>
      <c r="AD106" s="5">
        <v>147.84200000000001</v>
      </c>
    </row>
    <row r="107" spans="5:30" ht="15">
      <c r="E107" s="9">
        <v>37315</v>
      </c>
      <c r="F107" s="5">
        <v>163.1</v>
      </c>
      <c r="G107" s="5">
        <v>347.99520000000001</v>
      </c>
      <c r="H107" s="5">
        <v>441.56150000000002</v>
      </c>
      <c r="I107" s="5">
        <v>1027.3</v>
      </c>
      <c r="J107" s="5">
        <v>258.90350000000001</v>
      </c>
      <c r="K107" s="5">
        <v>1077.03</v>
      </c>
      <c r="L107" s="5">
        <v>1220.23</v>
      </c>
      <c r="M107" s="5">
        <v>1185.22</v>
      </c>
      <c r="N107" s="5">
        <v>1242.6300000000001</v>
      </c>
      <c r="O107" s="5">
        <v>1239.28</v>
      </c>
      <c r="P107" s="5">
        <v>540.55999999999995</v>
      </c>
      <c r="Q107" s="5">
        <v>210.26</v>
      </c>
      <c r="R107" s="5">
        <v>1106.73</v>
      </c>
      <c r="S107" s="5">
        <v>962.73</v>
      </c>
      <c r="T107" s="5">
        <v>231.21</v>
      </c>
      <c r="U107" s="5">
        <v>332.77</v>
      </c>
      <c r="V107" s="5">
        <v>3164.8941</v>
      </c>
      <c r="W107" s="5">
        <v>5867.7139999999999</v>
      </c>
      <c r="X107" s="5">
        <v>9151.6319999999996</v>
      </c>
      <c r="Y107" s="5">
        <v>4724.8968000000004</v>
      </c>
      <c r="Z107" s="5">
        <v>6986.1259</v>
      </c>
      <c r="AA107" s="5">
        <v>1527.4960000000001</v>
      </c>
      <c r="AB107" s="5">
        <v>15743.87</v>
      </c>
      <c r="AC107" s="5">
        <v>296.55</v>
      </c>
      <c r="AD107" s="5">
        <v>151.673</v>
      </c>
    </row>
    <row r="108" spans="5:30" ht="15">
      <c r="E108" s="9">
        <v>37344</v>
      </c>
      <c r="F108" s="5">
        <v>163.33000000000001</v>
      </c>
      <c r="G108" s="5">
        <v>345.4973</v>
      </c>
      <c r="H108" s="5">
        <v>430.80680000000001</v>
      </c>
      <c r="I108" s="5">
        <v>1010.21</v>
      </c>
      <c r="J108" s="5">
        <v>256.16419999999999</v>
      </c>
      <c r="K108" s="5">
        <v>1065.6199999999999</v>
      </c>
      <c r="L108" s="5">
        <v>1197.56</v>
      </c>
      <c r="M108" s="5">
        <v>1159.8900000000001</v>
      </c>
      <c r="N108" s="5">
        <v>1223.1199999999999</v>
      </c>
      <c r="O108" s="5">
        <v>1221.21</v>
      </c>
      <c r="P108" s="5">
        <v>553.57000000000005</v>
      </c>
      <c r="Q108" s="5">
        <v>210.49</v>
      </c>
      <c r="R108" s="5">
        <v>1147.3900000000001</v>
      </c>
      <c r="S108" s="5">
        <v>1003.6</v>
      </c>
      <c r="T108" s="5">
        <v>241.17</v>
      </c>
      <c r="U108" s="5">
        <v>351.43</v>
      </c>
      <c r="V108" s="5">
        <v>3187.3490000000002</v>
      </c>
      <c r="W108" s="5">
        <v>5979.8684999999996</v>
      </c>
      <c r="X108" s="5">
        <v>9337.15</v>
      </c>
      <c r="Y108" s="5">
        <v>4754.8172000000004</v>
      </c>
      <c r="Z108" s="5">
        <v>7133.6558999999997</v>
      </c>
      <c r="AA108" s="5">
        <v>1618.94</v>
      </c>
      <c r="AB108" s="5">
        <v>17139.57</v>
      </c>
      <c r="AC108" s="5">
        <v>302.64999999999998</v>
      </c>
      <c r="AD108" s="5">
        <v>167.18199999999999</v>
      </c>
    </row>
    <row r="109" spans="5:30" ht="15">
      <c r="E109" s="9">
        <v>37376</v>
      </c>
      <c r="F109" s="5">
        <v>163.61000000000001</v>
      </c>
      <c r="G109" s="5">
        <v>349.48559999999998</v>
      </c>
      <c r="H109" s="5">
        <v>441.35739999999998</v>
      </c>
      <c r="I109" s="5">
        <v>1029.8</v>
      </c>
      <c r="J109" s="5">
        <v>259.61169999999998</v>
      </c>
      <c r="K109" s="5">
        <v>1085.8</v>
      </c>
      <c r="L109" s="5">
        <v>1212.6600000000001</v>
      </c>
      <c r="M109" s="5">
        <v>1163.8900000000001</v>
      </c>
      <c r="N109" s="5">
        <v>1250.9000000000001</v>
      </c>
      <c r="O109" s="5">
        <v>1249.1099999999999</v>
      </c>
      <c r="P109" s="5">
        <v>562.20000000000005</v>
      </c>
      <c r="Q109" s="5">
        <v>212.56</v>
      </c>
      <c r="R109" s="5">
        <v>1076.92</v>
      </c>
      <c r="S109" s="5">
        <v>968.25</v>
      </c>
      <c r="T109" s="5">
        <v>233.13</v>
      </c>
      <c r="U109" s="5">
        <v>352.84</v>
      </c>
      <c r="V109" s="5">
        <v>3208.4695000000002</v>
      </c>
      <c r="W109" s="5">
        <v>5996.3867</v>
      </c>
      <c r="X109" s="5">
        <v>9352.6208999999999</v>
      </c>
      <c r="Y109" s="5">
        <v>4782.9566999999997</v>
      </c>
      <c r="Z109" s="5">
        <v>7161.4772000000003</v>
      </c>
      <c r="AA109" s="5">
        <v>1640.2049999999999</v>
      </c>
      <c r="AB109" s="5">
        <v>17380.830000000002</v>
      </c>
      <c r="AC109" s="5">
        <v>308.45</v>
      </c>
      <c r="AD109" s="5">
        <v>167.18299999999999</v>
      </c>
    </row>
    <row r="110" spans="5:30" ht="15">
      <c r="E110" s="9">
        <v>37407</v>
      </c>
      <c r="F110" s="5">
        <v>163.88</v>
      </c>
      <c r="G110" s="5">
        <v>350.83339999999998</v>
      </c>
      <c r="H110" s="5">
        <v>443.90750000000003</v>
      </c>
      <c r="I110" s="5">
        <v>1038.55</v>
      </c>
      <c r="J110" s="5">
        <v>260.83210000000003</v>
      </c>
      <c r="K110" s="5">
        <v>1093.68</v>
      </c>
      <c r="L110" s="5">
        <v>1229.72</v>
      </c>
      <c r="M110" s="5">
        <v>1182.1400000000001</v>
      </c>
      <c r="N110" s="5">
        <v>1269.82</v>
      </c>
      <c r="O110" s="5">
        <v>1252.06</v>
      </c>
      <c r="P110" s="5">
        <v>559.29999999999995</v>
      </c>
      <c r="Q110" s="5">
        <v>211.46</v>
      </c>
      <c r="R110" s="5">
        <v>1067.1400000000001</v>
      </c>
      <c r="S110" s="5">
        <v>967.85</v>
      </c>
      <c r="T110" s="5">
        <v>232.82</v>
      </c>
      <c r="U110" s="5">
        <v>346.28</v>
      </c>
      <c r="V110" s="5">
        <v>3225.0398</v>
      </c>
      <c r="W110" s="5">
        <v>5976.58</v>
      </c>
      <c r="X110" s="5">
        <v>9352.7932000000001</v>
      </c>
      <c r="Y110" s="5">
        <v>4793.0019000000002</v>
      </c>
      <c r="Z110" s="5">
        <v>7295.6653999999999</v>
      </c>
      <c r="AA110" s="5">
        <v>1663.9090000000001</v>
      </c>
      <c r="AB110" s="5">
        <v>17182.009999999998</v>
      </c>
      <c r="AC110" s="5">
        <v>326.55</v>
      </c>
      <c r="AD110" s="5">
        <v>164.61199999999999</v>
      </c>
    </row>
    <row r="111" spans="5:30" ht="15">
      <c r="E111" s="9">
        <v>37435</v>
      </c>
      <c r="F111" s="5">
        <v>164.14</v>
      </c>
      <c r="G111" s="5">
        <v>353.85950000000003</v>
      </c>
      <c r="H111" s="5">
        <v>450.1662</v>
      </c>
      <c r="I111" s="5">
        <v>1047.53</v>
      </c>
      <c r="J111" s="5">
        <v>263.5455</v>
      </c>
      <c r="K111" s="5">
        <v>1102.7</v>
      </c>
      <c r="L111" s="5">
        <v>1229.8399999999999</v>
      </c>
      <c r="M111" s="5">
        <v>1175.04</v>
      </c>
      <c r="N111" s="5">
        <v>1279.57</v>
      </c>
      <c r="O111" s="5">
        <v>1254.69</v>
      </c>
      <c r="P111" s="5">
        <v>518.05999999999995</v>
      </c>
      <c r="Q111" s="5">
        <v>200.79</v>
      </c>
      <c r="R111" s="5">
        <v>989.81</v>
      </c>
      <c r="S111" s="5">
        <v>907.81</v>
      </c>
      <c r="T111" s="5">
        <v>218.25</v>
      </c>
      <c r="U111" s="5">
        <v>319.75</v>
      </c>
      <c r="V111" s="5">
        <v>3196.7015999999999</v>
      </c>
      <c r="W111" s="5">
        <v>5748.2376000000004</v>
      </c>
      <c r="X111" s="5">
        <v>9106.7009999999991</v>
      </c>
      <c r="Y111" s="5">
        <v>4783.9258</v>
      </c>
      <c r="Z111" s="5">
        <v>7383.3379000000004</v>
      </c>
      <c r="AA111" s="5">
        <v>1709.4739999999999</v>
      </c>
      <c r="AB111" s="5">
        <v>16704.78</v>
      </c>
      <c r="AC111" s="5">
        <v>314.45</v>
      </c>
      <c r="AD111" s="5">
        <v>167.80500000000001</v>
      </c>
    </row>
    <row r="112" spans="5:30" ht="15">
      <c r="E112" s="9">
        <v>37468</v>
      </c>
      <c r="F112" s="5">
        <v>164.38</v>
      </c>
      <c r="G112" s="5">
        <v>358.23360000000002</v>
      </c>
      <c r="H112" s="5">
        <v>460.75439999999998</v>
      </c>
      <c r="I112" s="5">
        <v>1060.17</v>
      </c>
      <c r="J112" s="5">
        <v>266.30239999999998</v>
      </c>
      <c r="K112" s="5">
        <v>1115.32</v>
      </c>
      <c r="L112" s="5">
        <v>1225.3699999999999</v>
      </c>
      <c r="M112" s="5">
        <v>1178.1199999999999</v>
      </c>
      <c r="N112" s="5">
        <v>1290.78</v>
      </c>
      <c r="O112" s="5">
        <v>1157.25</v>
      </c>
      <c r="P112" s="5">
        <v>495.43</v>
      </c>
      <c r="Q112" s="5">
        <v>191.7</v>
      </c>
      <c r="R112" s="5">
        <v>911.62</v>
      </c>
      <c r="S112" s="5">
        <v>830.55</v>
      </c>
      <c r="T112" s="5">
        <v>199.73</v>
      </c>
      <c r="U112" s="5">
        <v>294.62</v>
      </c>
      <c r="V112" s="5">
        <v>3150.4490000000001</v>
      </c>
      <c r="W112" s="5">
        <v>5498.2161999999998</v>
      </c>
      <c r="X112" s="5">
        <v>8748.8369999999995</v>
      </c>
      <c r="Y112" s="5">
        <v>4774.5339000000004</v>
      </c>
      <c r="Z112" s="5">
        <v>7358.3379000000004</v>
      </c>
      <c r="AA112" s="5">
        <v>1623.17</v>
      </c>
      <c r="AB112" s="5">
        <v>14633.57</v>
      </c>
      <c r="AC112" s="5">
        <v>303.55</v>
      </c>
      <c r="AD112" s="5">
        <v>166.89599999999999</v>
      </c>
    </row>
    <row r="113" spans="5:30" ht="15">
      <c r="E113" s="9">
        <v>37498</v>
      </c>
      <c r="F113" s="5">
        <v>164.62</v>
      </c>
      <c r="G113" s="5">
        <v>359.33589999999998</v>
      </c>
      <c r="H113" s="5">
        <v>470.49860000000001</v>
      </c>
      <c r="I113" s="5">
        <v>1078.07</v>
      </c>
      <c r="J113" s="5">
        <v>270.12139999999999</v>
      </c>
      <c r="K113" s="5">
        <v>1124.0899999999999</v>
      </c>
      <c r="L113" s="5">
        <v>1257.8699999999999</v>
      </c>
      <c r="M113" s="5">
        <v>1213.1099999999999</v>
      </c>
      <c r="N113" s="5">
        <v>1312.52</v>
      </c>
      <c r="O113" s="5">
        <v>1214.06</v>
      </c>
      <c r="P113" s="5">
        <v>509.56</v>
      </c>
      <c r="Q113" s="5">
        <v>205.73</v>
      </c>
      <c r="R113" s="5">
        <v>916.07</v>
      </c>
      <c r="S113" s="5">
        <v>830.58</v>
      </c>
      <c r="T113" s="5">
        <v>199.85</v>
      </c>
      <c r="U113" s="5">
        <v>298.89</v>
      </c>
      <c r="V113" s="5">
        <v>3161.1111000000001</v>
      </c>
      <c r="W113" s="5">
        <v>5518.5110000000004</v>
      </c>
      <c r="X113" s="5">
        <v>8773.6653000000006</v>
      </c>
      <c r="Y113" s="5">
        <v>4807.1796999999997</v>
      </c>
      <c r="Z113" s="5">
        <v>7404.6351999999997</v>
      </c>
      <c r="AA113" s="5">
        <v>1622.7760000000001</v>
      </c>
      <c r="AB113" s="5">
        <v>14520.62</v>
      </c>
      <c r="AC113" s="5">
        <v>312.75</v>
      </c>
      <c r="AD113" s="5">
        <v>173.47200000000001</v>
      </c>
    </row>
    <row r="114" spans="5:30" ht="15">
      <c r="E114" s="9">
        <v>37529</v>
      </c>
      <c r="F114" s="5">
        <v>164.88</v>
      </c>
      <c r="G114" s="5">
        <v>362.39089999999999</v>
      </c>
      <c r="H114" s="5">
        <v>483.16820000000001</v>
      </c>
      <c r="I114" s="5">
        <v>1095.53</v>
      </c>
      <c r="J114" s="5">
        <v>273.74669999999998</v>
      </c>
      <c r="K114" s="5">
        <v>1132.07</v>
      </c>
      <c r="L114" s="5">
        <v>1281.8599999999999</v>
      </c>
      <c r="M114" s="5">
        <v>1241.17</v>
      </c>
      <c r="N114" s="5">
        <v>1334.56</v>
      </c>
      <c r="O114" s="5">
        <v>1223.22</v>
      </c>
      <c r="P114" s="5">
        <v>502.87</v>
      </c>
      <c r="Q114" s="5">
        <v>200.03</v>
      </c>
      <c r="R114" s="5">
        <v>815.28</v>
      </c>
      <c r="S114" s="5">
        <v>738.18</v>
      </c>
      <c r="T114" s="5">
        <v>177.63</v>
      </c>
      <c r="U114" s="5">
        <v>266.11</v>
      </c>
      <c r="V114" s="5">
        <v>3149.451</v>
      </c>
      <c r="W114" s="5">
        <v>5436.3852999999999</v>
      </c>
      <c r="X114" s="5">
        <v>8601.5794000000005</v>
      </c>
      <c r="Y114" s="5">
        <v>4821.1869999999999</v>
      </c>
      <c r="Z114" s="5">
        <v>7473.6359000000002</v>
      </c>
      <c r="AA114" s="5">
        <v>1558.643</v>
      </c>
      <c r="AB114" s="5">
        <v>13584.88</v>
      </c>
      <c r="AC114" s="5">
        <v>323.55</v>
      </c>
      <c r="AD114" s="5">
        <v>180.005</v>
      </c>
    </row>
    <row r="115" spans="5:30" ht="15">
      <c r="E115" s="9">
        <v>37560</v>
      </c>
      <c r="F115" s="5">
        <v>165.12</v>
      </c>
      <c r="G115" s="5">
        <v>363.21319999999997</v>
      </c>
      <c r="H115" s="5">
        <v>477.66809999999998</v>
      </c>
      <c r="I115" s="5">
        <v>1090.54</v>
      </c>
      <c r="J115" s="5">
        <v>273.04860000000002</v>
      </c>
      <c r="K115" s="5">
        <v>1136.4000000000001</v>
      </c>
      <c r="L115" s="5">
        <v>1264.6500000000001</v>
      </c>
      <c r="M115" s="5">
        <v>1233.46</v>
      </c>
      <c r="N115" s="5">
        <v>1312.48</v>
      </c>
      <c r="O115" s="5">
        <v>1177.07</v>
      </c>
      <c r="P115" s="5">
        <v>498.48</v>
      </c>
      <c r="Q115" s="5">
        <v>212.34</v>
      </c>
      <c r="R115" s="5">
        <v>885.76</v>
      </c>
      <c r="S115" s="5">
        <v>791.88</v>
      </c>
      <c r="T115" s="5">
        <v>190.49</v>
      </c>
      <c r="U115" s="5">
        <v>283.16000000000003</v>
      </c>
      <c r="V115" s="5">
        <v>3140.4717000000001</v>
      </c>
      <c r="W115" s="5">
        <v>5474.5492000000004</v>
      </c>
      <c r="X115" s="5">
        <v>8649.3765000000003</v>
      </c>
      <c r="Y115" s="5">
        <v>4841.1561000000002</v>
      </c>
      <c r="Z115" s="5">
        <v>7350.6886000000004</v>
      </c>
      <c r="AA115" s="5">
        <v>1487.432</v>
      </c>
      <c r="AB115" s="5">
        <v>14011.94</v>
      </c>
      <c r="AC115" s="5">
        <v>317.75</v>
      </c>
      <c r="AD115" s="5">
        <v>178.148</v>
      </c>
    </row>
    <row r="116" spans="5:30" ht="15">
      <c r="E116" s="9">
        <v>37589</v>
      </c>
      <c r="F116" s="5">
        <v>165.37</v>
      </c>
      <c r="G116" s="5">
        <v>362.02289999999999</v>
      </c>
      <c r="H116" s="5">
        <v>473.11259999999999</v>
      </c>
      <c r="I116" s="5">
        <v>1090.25</v>
      </c>
      <c r="J116" s="5">
        <v>273.37740000000002</v>
      </c>
      <c r="K116" s="5">
        <v>1135.5899999999999</v>
      </c>
      <c r="L116" s="5">
        <v>1284.42</v>
      </c>
      <c r="M116" s="5">
        <v>1253.6099999999999</v>
      </c>
      <c r="N116" s="5">
        <v>1328.57</v>
      </c>
      <c r="O116" s="5">
        <v>1207.17</v>
      </c>
      <c r="P116" s="5">
        <v>529.36</v>
      </c>
      <c r="Q116" s="5">
        <v>218.36</v>
      </c>
      <c r="R116" s="5">
        <v>936.31</v>
      </c>
      <c r="S116" s="5">
        <v>833.47</v>
      </c>
      <c r="T116" s="5">
        <v>200.6</v>
      </c>
      <c r="U116" s="5">
        <v>302.36</v>
      </c>
      <c r="V116" s="5">
        <v>3166.3667</v>
      </c>
      <c r="W116" s="5">
        <v>5634.6292999999996</v>
      </c>
      <c r="X116" s="5">
        <v>8880.3166000000001</v>
      </c>
      <c r="Y116" s="5">
        <v>4895.2415000000001</v>
      </c>
      <c r="Z116" s="5">
        <v>7316.6174000000001</v>
      </c>
      <c r="AA116" s="5">
        <v>1554.8140000000001</v>
      </c>
      <c r="AB116" s="5">
        <v>15669.83</v>
      </c>
      <c r="AC116" s="5">
        <v>318.14999999999998</v>
      </c>
      <c r="AD116" s="5">
        <v>178.65299999999999</v>
      </c>
    </row>
    <row r="117" spans="5:30" ht="15">
      <c r="E117" s="9">
        <v>37621</v>
      </c>
      <c r="F117" s="5">
        <v>165.56</v>
      </c>
      <c r="G117" s="5">
        <v>365.58530000000002</v>
      </c>
      <c r="H117" s="5">
        <v>485.25830000000002</v>
      </c>
      <c r="I117" s="5">
        <v>1112.77</v>
      </c>
      <c r="J117" s="5">
        <v>277.9982</v>
      </c>
      <c r="K117" s="5">
        <v>1147.45</v>
      </c>
      <c r="L117" s="5">
        <v>1323.64</v>
      </c>
      <c r="M117" s="5">
        <v>1294.67</v>
      </c>
      <c r="N117" s="5">
        <v>1366.67</v>
      </c>
      <c r="O117" s="5">
        <v>1238.51</v>
      </c>
      <c r="P117" s="5">
        <v>536.76</v>
      </c>
      <c r="Q117" s="5">
        <v>225.07</v>
      </c>
      <c r="R117" s="5">
        <v>879.82</v>
      </c>
      <c r="S117" s="5">
        <v>792.21</v>
      </c>
      <c r="T117" s="5">
        <v>190.8</v>
      </c>
      <c r="U117" s="5">
        <v>292.08999999999997</v>
      </c>
      <c r="V117" s="5">
        <v>3190.4944</v>
      </c>
      <c r="W117" s="5">
        <v>5649.0540000000001</v>
      </c>
      <c r="X117" s="5">
        <v>8779.5249999999996</v>
      </c>
      <c r="Y117" s="5">
        <v>4929.2635</v>
      </c>
      <c r="Z117" s="5">
        <v>7566.4066999999995</v>
      </c>
      <c r="AA117" s="5">
        <v>1572.605</v>
      </c>
      <c r="AB117" s="5">
        <v>14992.74</v>
      </c>
      <c r="AC117" s="5">
        <v>348.05</v>
      </c>
      <c r="AD117" s="5">
        <v>187.40100000000001</v>
      </c>
    </row>
    <row r="118" spans="5:30" ht="15">
      <c r="E118" s="9">
        <v>37652</v>
      </c>
      <c r="F118" s="5">
        <v>165.74</v>
      </c>
      <c r="G118" s="5">
        <v>365.4735</v>
      </c>
      <c r="H118" s="5">
        <v>483.7278</v>
      </c>
      <c r="I118" s="5">
        <v>1113.72</v>
      </c>
      <c r="J118" s="5">
        <v>279.27699999999999</v>
      </c>
      <c r="K118" s="5">
        <v>1150.25</v>
      </c>
      <c r="L118" s="5">
        <v>1329.21</v>
      </c>
      <c r="M118" s="5">
        <v>1297.47</v>
      </c>
      <c r="N118" s="5">
        <v>1373.5</v>
      </c>
      <c r="O118" s="5">
        <v>1253.69</v>
      </c>
      <c r="P118" s="5">
        <v>554.63</v>
      </c>
      <c r="Q118" s="5">
        <v>228.78</v>
      </c>
      <c r="R118" s="5">
        <v>855.7</v>
      </c>
      <c r="S118" s="5">
        <v>767.48</v>
      </c>
      <c r="T118" s="5">
        <v>185.03</v>
      </c>
      <c r="U118" s="5">
        <v>290.44</v>
      </c>
      <c r="V118" s="5">
        <v>3215.6035999999999</v>
      </c>
      <c r="W118" s="5">
        <v>5723.0001000000002</v>
      </c>
      <c r="X118" s="5">
        <v>8778.9105</v>
      </c>
      <c r="Y118" s="5">
        <v>4979.9363000000003</v>
      </c>
      <c r="Z118" s="5">
        <v>7757.0802000000003</v>
      </c>
      <c r="AA118" s="5">
        <v>1528.7380000000001</v>
      </c>
      <c r="AB118" s="5">
        <v>15078.53</v>
      </c>
      <c r="AC118" s="5">
        <v>368.15</v>
      </c>
      <c r="AD118" s="5">
        <v>201.82599999999999</v>
      </c>
    </row>
    <row r="119" spans="5:30" ht="15">
      <c r="E119" s="9">
        <v>37680</v>
      </c>
      <c r="F119" s="5">
        <v>165.88</v>
      </c>
      <c r="G119" s="5">
        <v>367.03019999999998</v>
      </c>
      <c r="H119" s="5">
        <v>492.08</v>
      </c>
      <c r="I119" s="5">
        <v>1129.1300000000001</v>
      </c>
      <c r="J119" s="5">
        <v>282.07619999999997</v>
      </c>
      <c r="K119" s="5">
        <v>1157.96</v>
      </c>
      <c r="L119" s="5">
        <v>1356.52</v>
      </c>
      <c r="M119" s="5">
        <v>1324.76</v>
      </c>
      <c r="N119" s="5">
        <v>1398.77</v>
      </c>
      <c r="O119" s="5">
        <v>1287.6199999999999</v>
      </c>
      <c r="P119" s="5">
        <v>561.47</v>
      </c>
      <c r="Q119" s="5">
        <v>236.1</v>
      </c>
      <c r="R119" s="5">
        <v>841.15</v>
      </c>
      <c r="S119" s="5">
        <v>752.86</v>
      </c>
      <c r="T119" s="5">
        <v>181.51</v>
      </c>
      <c r="U119" s="5">
        <v>281.29000000000002</v>
      </c>
      <c r="V119" s="5">
        <v>3224.9288999999999</v>
      </c>
      <c r="W119" s="5">
        <v>5717.4488000000001</v>
      </c>
      <c r="X119" s="5">
        <v>8710.2594000000008</v>
      </c>
      <c r="Y119" s="5">
        <v>5014.5469000000003</v>
      </c>
      <c r="Z119" s="5">
        <v>7905.2403999999997</v>
      </c>
      <c r="AA119" s="5">
        <v>1553.5039999999999</v>
      </c>
      <c r="AB119" s="5">
        <v>14741.4</v>
      </c>
      <c r="AC119" s="5">
        <v>349.95</v>
      </c>
      <c r="AD119" s="5">
        <v>208.61699999999999</v>
      </c>
    </row>
    <row r="120" spans="5:30" ht="15">
      <c r="E120" s="9">
        <v>37711</v>
      </c>
      <c r="F120" s="5">
        <v>166.07</v>
      </c>
      <c r="G120" s="5">
        <v>367.66739999999999</v>
      </c>
      <c r="H120" s="5">
        <v>489.9896</v>
      </c>
      <c r="I120" s="5">
        <v>1128.26</v>
      </c>
      <c r="J120" s="5">
        <v>281.8338</v>
      </c>
      <c r="K120" s="5">
        <v>1158.06</v>
      </c>
      <c r="L120" s="5">
        <v>1357.1</v>
      </c>
      <c r="M120" s="5">
        <v>1324.78</v>
      </c>
      <c r="N120" s="5">
        <v>1398.24</v>
      </c>
      <c r="O120" s="5">
        <v>1295.4000000000001</v>
      </c>
      <c r="P120" s="5">
        <v>577.62</v>
      </c>
      <c r="Q120" s="5">
        <v>239.93</v>
      </c>
      <c r="R120" s="5">
        <v>848.18</v>
      </c>
      <c r="S120" s="5">
        <v>748.63</v>
      </c>
      <c r="T120" s="5">
        <v>180.2</v>
      </c>
      <c r="U120" s="5">
        <v>272.27</v>
      </c>
      <c r="V120" s="5">
        <v>3227.3153000000002</v>
      </c>
      <c r="W120" s="5">
        <v>5771.8217000000004</v>
      </c>
      <c r="X120" s="5">
        <v>8704.5977000000003</v>
      </c>
      <c r="Y120" s="5">
        <v>5050.2503999999999</v>
      </c>
      <c r="Z120" s="5">
        <v>7728.8744999999999</v>
      </c>
      <c r="AA120" s="5">
        <v>1585.6210000000001</v>
      </c>
      <c r="AB120" s="5">
        <v>14938.81</v>
      </c>
      <c r="AC120" s="5">
        <v>337.45</v>
      </c>
      <c r="AD120" s="5">
        <v>192.87700000000001</v>
      </c>
    </row>
    <row r="121" spans="5:30" ht="15">
      <c r="E121" s="9">
        <v>37741</v>
      </c>
      <c r="F121" s="5">
        <v>166.22</v>
      </c>
      <c r="G121" s="5">
        <v>368.38720000000001</v>
      </c>
      <c r="H121" s="5">
        <v>492.2722</v>
      </c>
      <c r="I121" s="5">
        <v>1137.57</v>
      </c>
      <c r="J121" s="5">
        <v>283.3655</v>
      </c>
      <c r="K121" s="5">
        <v>1162.9000000000001</v>
      </c>
      <c r="L121" s="5">
        <v>1384.19</v>
      </c>
      <c r="M121" s="5">
        <v>1352.68</v>
      </c>
      <c r="N121" s="5">
        <v>1423.1</v>
      </c>
      <c r="O121" s="5">
        <v>1325.55</v>
      </c>
      <c r="P121" s="5">
        <v>611.89</v>
      </c>
      <c r="Q121" s="5">
        <v>253.6</v>
      </c>
      <c r="R121" s="5">
        <v>916.92</v>
      </c>
      <c r="S121" s="5">
        <v>813.3</v>
      </c>
      <c r="T121" s="5">
        <v>195.75</v>
      </c>
      <c r="U121" s="5">
        <v>295.17</v>
      </c>
      <c r="V121" s="5">
        <v>3264.2680999999998</v>
      </c>
      <c r="W121" s="5">
        <v>5953.7494999999999</v>
      </c>
      <c r="X121" s="5">
        <v>8916.2934999999998</v>
      </c>
      <c r="Y121" s="5">
        <v>5120.1963999999998</v>
      </c>
      <c r="Z121" s="5">
        <v>7823.7078000000001</v>
      </c>
      <c r="AA121" s="5">
        <v>1661.259</v>
      </c>
      <c r="AB121" s="5">
        <v>16420.3</v>
      </c>
      <c r="AC121" s="5">
        <v>338.55</v>
      </c>
      <c r="AD121" s="5">
        <v>191.67599999999999</v>
      </c>
    </row>
    <row r="122" spans="5:30" ht="15">
      <c r="E122" s="9">
        <v>37771</v>
      </c>
      <c r="F122" s="5">
        <v>166.39</v>
      </c>
      <c r="G122" s="5">
        <v>369.76560000000001</v>
      </c>
      <c r="H122" s="5">
        <v>506.5761</v>
      </c>
      <c r="I122" s="5">
        <v>1158.78</v>
      </c>
      <c r="J122" s="5">
        <v>288.25369999999998</v>
      </c>
      <c r="K122" s="5">
        <v>1163.8599999999999</v>
      </c>
      <c r="L122" s="5">
        <v>1429.05</v>
      </c>
      <c r="M122" s="5">
        <v>1402.22</v>
      </c>
      <c r="N122" s="5">
        <v>1462.81</v>
      </c>
      <c r="O122" s="5">
        <v>1364.03</v>
      </c>
      <c r="P122" s="5">
        <v>618.21</v>
      </c>
      <c r="Q122" s="5">
        <v>264.11</v>
      </c>
      <c r="R122" s="5">
        <v>963.59</v>
      </c>
      <c r="S122" s="5">
        <v>857.65</v>
      </c>
      <c r="T122" s="5">
        <v>206.54</v>
      </c>
      <c r="U122" s="5">
        <v>315.44</v>
      </c>
      <c r="V122" s="5">
        <v>3331.6752000000001</v>
      </c>
      <c r="W122" s="5">
        <v>6200.5919999999996</v>
      </c>
      <c r="X122" s="5">
        <v>9279.9892</v>
      </c>
      <c r="Y122" s="5">
        <v>5170.3230999999996</v>
      </c>
      <c r="Z122" s="5">
        <v>8266.9207999999999</v>
      </c>
      <c r="AA122" s="5">
        <v>1762.951</v>
      </c>
      <c r="AB122" s="5">
        <v>18754.25</v>
      </c>
      <c r="AC122" s="5">
        <v>364.45</v>
      </c>
      <c r="AD122" s="5">
        <v>202.881</v>
      </c>
    </row>
    <row r="123" spans="5:30" ht="15">
      <c r="E123" s="9">
        <v>37802</v>
      </c>
      <c r="F123" s="5">
        <v>166.59</v>
      </c>
      <c r="G123" s="5">
        <v>370.29750000000001</v>
      </c>
      <c r="H123" s="5">
        <v>503.38690000000003</v>
      </c>
      <c r="I123" s="5">
        <v>1156.48</v>
      </c>
      <c r="J123" s="5">
        <v>287.32530000000003</v>
      </c>
      <c r="K123" s="5">
        <v>1165.76</v>
      </c>
      <c r="L123" s="5">
        <v>1425.78</v>
      </c>
      <c r="M123" s="5">
        <v>1397.63</v>
      </c>
      <c r="N123" s="5">
        <v>1461.55</v>
      </c>
      <c r="O123" s="5">
        <v>1359.99</v>
      </c>
      <c r="P123" s="5">
        <v>635.99</v>
      </c>
      <c r="Q123" s="5">
        <v>264.10000000000002</v>
      </c>
      <c r="R123" s="5">
        <v>974.5</v>
      </c>
      <c r="S123" s="5">
        <v>871.07</v>
      </c>
      <c r="T123" s="5">
        <v>210.08</v>
      </c>
      <c r="U123" s="5">
        <v>332.68</v>
      </c>
      <c r="V123" s="5">
        <v>3354.5971</v>
      </c>
      <c r="W123" s="5">
        <v>6352.8784999999998</v>
      </c>
      <c r="X123" s="5">
        <v>9420.9521999999997</v>
      </c>
      <c r="Y123" s="5">
        <v>5195.0889999999999</v>
      </c>
      <c r="Z123" s="5">
        <v>8310.8181999999997</v>
      </c>
      <c r="AA123" s="5">
        <v>1808.806</v>
      </c>
      <c r="AB123" s="5">
        <v>19865.89</v>
      </c>
      <c r="AC123" s="5">
        <v>346.4</v>
      </c>
      <c r="AD123" s="5">
        <v>197.86500000000001</v>
      </c>
    </row>
    <row r="124" spans="5:30" ht="15">
      <c r="E124" s="9">
        <v>37833</v>
      </c>
      <c r="F124" s="5">
        <v>166.71</v>
      </c>
      <c r="G124" s="5">
        <v>368.27879999999999</v>
      </c>
      <c r="H124" s="5">
        <v>481.34399999999999</v>
      </c>
      <c r="I124" s="5">
        <v>1117.5999999999999</v>
      </c>
      <c r="J124" s="5">
        <v>281.39859999999999</v>
      </c>
      <c r="K124" s="5">
        <v>1143.92</v>
      </c>
      <c r="L124" s="5">
        <v>1363.85</v>
      </c>
      <c r="M124" s="5">
        <v>1330.17</v>
      </c>
      <c r="N124" s="5">
        <v>1407.12</v>
      </c>
      <c r="O124" s="5">
        <v>1300.8</v>
      </c>
      <c r="P124" s="5">
        <v>629</v>
      </c>
      <c r="Q124" s="5">
        <v>254.75</v>
      </c>
      <c r="R124" s="5">
        <v>990.31</v>
      </c>
      <c r="S124" s="5">
        <v>887.78</v>
      </c>
      <c r="T124" s="5">
        <v>214.46</v>
      </c>
      <c r="U124" s="5">
        <v>352.62</v>
      </c>
      <c r="V124" s="5">
        <v>3361.0043999999998</v>
      </c>
      <c r="W124" s="5">
        <v>6445.6305000000002</v>
      </c>
      <c r="X124" s="5">
        <v>9648.3739999999998</v>
      </c>
      <c r="Y124" s="5">
        <v>5197.0631000000003</v>
      </c>
      <c r="Z124" s="5">
        <v>8371.1546999999991</v>
      </c>
      <c r="AA124" s="5">
        <v>1903.5029999999999</v>
      </c>
      <c r="AB124" s="5">
        <v>21584.42</v>
      </c>
      <c r="AC124" s="5">
        <v>354.35</v>
      </c>
      <c r="AD124" s="5">
        <v>199.05500000000001</v>
      </c>
    </row>
    <row r="125" spans="5:30" ht="15">
      <c r="E125" s="9">
        <v>37862</v>
      </c>
      <c r="F125" s="5">
        <v>166.84</v>
      </c>
      <c r="G125" s="5">
        <v>368.49509999999998</v>
      </c>
      <c r="H125" s="5">
        <v>484.16789999999997</v>
      </c>
      <c r="I125" s="5">
        <v>1125.02</v>
      </c>
      <c r="J125" s="5">
        <v>281.26839999999999</v>
      </c>
      <c r="K125" s="5">
        <v>1152.06</v>
      </c>
      <c r="L125" s="5">
        <v>1375.19</v>
      </c>
      <c r="M125" s="5">
        <v>1343.94</v>
      </c>
      <c r="N125" s="5">
        <v>1417.17</v>
      </c>
      <c r="O125" s="5">
        <v>1304.08</v>
      </c>
      <c r="P125" s="5">
        <v>636.23</v>
      </c>
      <c r="Q125" s="5">
        <v>260.95</v>
      </c>
      <c r="R125" s="5">
        <v>1008.01</v>
      </c>
      <c r="S125" s="5">
        <v>905.32</v>
      </c>
      <c r="T125" s="5">
        <v>219.1</v>
      </c>
      <c r="U125" s="5">
        <v>375.52</v>
      </c>
      <c r="V125" s="5">
        <v>3389.2368999999999</v>
      </c>
      <c r="W125" s="5">
        <v>6571.1913999999997</v>
      </c>
      <c r="X125" s="5">
        <v>9878.1018000000004</v>
      </c>
      <c r="Y125" s="5">
        <v>5216.4480999999996</v>
      </c>
      <c r="Z125" s="5">
        <v>8526.5234</v>
      </c>
      <c r="AA125" s="5">
        <v>1911.694</v>
      </c>
      <c r="AB125" s="5">
        <v>22633.88</v>
      </c>
      <c r="AC125" s="5">
        <v>375.55</v>
      </c>
      <c r="AD125" s="5">
        <v>206.916</v>
      </c>
    </row>
    <row r="126" spans="5:30" ht="15">
      <c r="E126" s="9">
        <v>37894</v>
      </c>
      <c r="F126" s="5">
        <v>167</v>
      </c>
      <c r="G126" s="5">
        <v>371.90809999999999</v>
      </c>
      <c r="H126" s="5">
        <v>498.72129999999999</v>
      </c>
      <c r="I126" s="5">
        <v>1154.8</v>
      </c>
      <c r="J126" s="5">
        <v>286.22550000000001</v>
      </c>
      <c r="K126" s="5">
        <v>1171.69</v>
      </c>
      <c r="L126" s="5">
        <v>1424.43</v>
      </c>
      <c r="M126" s="5">
        <v>1394.83</v>
      </c>
      <c r="N126" s="5">
        <v>1463.85</v>
      </c>
      <c r="O126" s="5">
        <v>1352.33</v>
      </c>
      <c r="P126" s="5">
        <v>653.62</v>
      </c>
      <c r="Q126" s="5">
        <v>270.10000000000002</v>
      </c>
      <c r="R126" s="5">
        <v>995.97</v>
      </c>
      <c r="S126" s="5">
        <v>909.64</v>
      </c>
      <c r="T126" s="5">
        <v>220.15</v>
      </c>
      <c r="U126" s="5">
        <v>377.63</v>
      </c>
      <c r="V126" s="5">
        <v>3428.4164000000001</v>
      </c>
      <c r="W126" s="5">
        <v>6654.5798999999997</v>
      </c>
      <c r="X126" s="5">
        <v>9955.4472999999998</v>
      </c>
      <c r="Y126" s="5">
        <v>5261.1531000000004</v>
      </c>
      <c r="Z126" s="5">
        <v>8719.0522999999994</v>
      </c>
      <c r="AA126" s="5">
        <v>1971.8679999999999</v>
      </c>
      <c r="AB126" s="5">
        <v>23513.82</v>
      </c>
      <c r="AC126" s="5">
        <v>385.35</v>
      </c>
      <c r="AD126" s="5">
        <v>207.089</v>
      </c>
    </row>
    <row r="127" spans="5:30" ht="15">
      <c r="E127" s="9">
        <v>37925</v>
      </c>
      <c r="F127" s="5">
        <v>167.13</v>
      </c>
      <c r="G127" s="5">
        <v>370.47340000000003</v>
      </c>
      <c r="H127" s="5">
        <v>491.18669999999997</v>
      </c>
      <c r="I127" s="5">
        <v>1144.03</v>
      </c>
      <c r="J127" s="5">
        <v>283.529</v>
      </c>
      <c r="K127" s="5">
        <v>1167.6300000000001</v>
      </c>
      <c r="L127" s="5">
        <v>1409.45</v>
      </c>
      <c r="M127" s="5">
        <v>1378.63</v>
      </c>
      <c r="N127" s="5">
        <v>1449.15</v>
      </c>
      <c r="O127" s="5">
        <v>1344.69</v>
      </c>
      <c r="P127" s="5">
        <v>666.82</v>
      </c>
      <c r="Q127" s="5">
        <v>271.42</v>
      </c>
      <c r="R127" s="5">
        <v>1050.71</v>
      </c>
      <c r="S127" s="5">
        <v>962.71</v>
      </c>
      <c r="T127" s="5">
        <v>233.24</v>
      </c>
      <c r="U127" s="5">
        <v>409.11</v>
      </c>
      <c r="V127" s="5">
        <v>3479.8427000000001</v>
      </c>
      <c r="W127" s="5">
        <v>6821.6764000000003</v>
      </c>
      <c r="X127" s="5">
        <v>10265.758599999999</v>
      </c>
      <c r="Y127" s="5">
        <v>5316.7635</v>
      </c>
      <c r="Z127" s="5">
        <v>8869.8047000000006</v>
      </c>
      <c r="AA127" s="5">
        <v>2014.348</v>
      </c>
      <c r="AB127" s="5">
        <v>25616.17</v>
      </c>
      <c r="AC127" s="5">
        <v>384.25</v>
      </c>
      <c r="AD127" s="5">
        <v>216.97900000000001</v>
      </c>
    </row>
    <row r="128" spans="5:30" ht="15">
      <c r="E128" s="9">
        <v>37953</v>
      </c>
      <c r="F128" s="5">
        <v>167.27</v>
      </c>
      <c r="G128" s="5">
        <v>370.2996</v>
      </c>
      <c r="H128" s="5">
        <v>491.89670000000001</v>
      </c>
      <c r="I128" s="5">
        <v>1146.77</v>
      </c>
      <c r="J128" s="5">
        <v>283.93150000000003</v>
      </c>
      <c r="K128" s="5">
        <v>1170.07</v>
      </c>
      <c r="L128" s="5">
        <v>1416.61</v>
      </c>
      <c r="M128" s="5">
        <v>1387.65</v>
      </c>
      <c r="N128" s="5">
        <v>1452.65</v>
      </c>
      <c r="O128" s="5">
        <v>1353.25</v>
      </c>
      <c r="P128" s="5">
        <v>676.93</v>
      </c>
      <c r="Q128" s="5">
        <v>274.76</v>
      </c>
      <c r="R128" s="5">
        <v>1058.2</v>
      </c>
      <c r="S128" s="5">
        <v>976.02</v>
      </c>
      <c r="T128" s="5">
        <v>236.42</v>
      </c>
      <c r="U128" s="5">
        <v>413.33</v>
      </c>
      <c r="V128" s="5">
        <v>3502.2181</v>
      </c>
      <c r="W128" s="5">
        <v>6932.8014999999996</v>
      </c>
      <c r="X128" s="5">
        <v>10382.2749</v>
      </c>
      <c r="Y128" s="5">
        <v>5342.4435000000003</v>
      </c>
      <c r="Z128" s="5">
        <v>8886.9233999999997</v>
      </c>
      <c r="AA128" s="5">
        <v>2105.337</v>
      </c>
      <c r="AB128" s="5">
        <v>26730.3</v>
      </c>
      <c r="AC128" s="5">
        <v>398.15</v>
      </c>
      <c r="AD128" s="5">
        <v>216.29599999999999</v>
      </c>
    </row>
    <row r="129" spans="5:30" ht="15">
      <c r="E129" s="9">
        <v>37986</v>
      </c>
      <c r="F129" s="5">
        <v>167.39</v>
      </c>
      <c r="G129" s="5">
        <v>372.44510000000002</v>
      </c>
      <c r="H129" s="5">
        <v>496.25850000000003</v>
      </c>
      <c r="I129" s="5">
        <v>1158.44</v>
      </c>
      <c r="J129" s="5">
        <v>286.64330000000001</v>
      </c>
      <c r="K129" s="5">
        <v>1182.6400000000001</v>
      </c>
      <c r="L129" s="5">
        <v>1432.74</v>
      </c>
      <c r="M129" s="5">
        <v>1406.29</v>
      </c>
      <c r="N129" s="5">
        <v>1466.21</v>
      </c>
      <c r="O129" s="5">
        <v>1362.53</v>
      </c>
      <c r="P129" s="5">
        <v>692.26</v>
      </c>
      <c r="Q129" s="5">
        <v>282.83</v>
      </c>
      <c r="R129" s="5">
        <v>1111.92</v>
      </c>
      <c r="S129" s="5">
        <v>1036.32</v>
      </c>
      <c r="T129" s="5">
        <v>251.13</v>
      </c>
      <c r="U129" s="5">
        <v>442.78</v>
      </c>
      <c r="V129" s="5">
        <v>3554.8914</v>
      </c>
      <c r="W129" s="5">
        <v>7079.7075000000004</v>
      </c>
      <c r="X129" s="5">
        <v>10582.4452</v>
      </c>
      <c r="Y129" s="5">
        <v>5408.3158000000003</v>
      </c>
      <c r="Z129" s="5">
        <v>9187.4791999999998</v>
      </c>
      <c r="AA129" s="5">
        <v>2177.529</v>
      </c>
      <c r="AB129" s="5">
        <v>27466.91</v>
      </c>
      <c r="AC129" s="5">
        <v>415.45</v>
      </c>
      <c r="AD129" s="5">
        <v>232.249</v>
      </c>
    </row>
    <row r="130" spans="5:30" ht="15">
      <c r="E130" s="9">
        <v>38016</v>
      </c>
      <c r="F130" s="5">
        <v>167.53</v>
      </c>
      <c r="G130" s="5">
        <v>373.1798</v>
      </c>
      <c r="H130" s="5">
        <v>500.44209999999998</v>
      </c>
      <c r="I130" s="5">
        <v>1167.76</v>
      </c>
      <c r="J130" s="5">
        <v>288.3134</v>
      </c>
      <c r="K130" s="5">
        <v>1190.05</v>
      </c>
      <c r="L130" s="5">
        <v>1447.76</v>
      </c>
      <c r="M130" s="5">
        <v>1421.43</v>
      </c>
      <c r="N130" s="5">
        <v>1480.41</v>
      </c>
      <c r="O130" s="5">
        <v>1378.66</v>
      </c>
      <c r="P130" s="5">
        <v>705.47</v>
      </c>
      <c r="Q130" s="5">
        <v>284.27999999999997</v>
      </c>
      <c r="R130" s="5">
        <v>1131.1300000000001</v>
      </c>
      <c r="S130" s="5">
        <v>1052.29</v>
      </c>
      <c r="T130" s="5">
        <v>255.2</v>
      </c>
      <c r="U130" s="5">
        <v>457.19</v>
      </c>
      <c r="V130" s="5">
        <v>3609.5657000000001</v>
      </c>
      <c r="W130" s="5">
        <v>7277.8684999999996</v>
      </c>
      <c r="X130" s="5">
        <v>10788.802900000001</v>
      </c>
      <c r="Y130" s="5">
        <v>5473.8104999999996</v>
      </c>
      <c r="Z130" s="5">
        <v>9246.8302999999996</v>
      </c>
      <c r="AA130" s="5">
        <v>2271.2089999999998</v>
      </c>
      <c r="AB130" s="5">
        <v>29619.57</v>
      </c>
      <c r="AC130" s="5">
        <v>402.45</v>
      </c>
      <c r="AD130" s="5">
        <v>236.46</v>
      </c>
    </row>
    <row r="131" spans="5:30" ht="15">
      <c r="E131" s="9">
        <v>38044</v>
      </c>
      <c r="F131" s="5">
        <v>167.65</v>
      </c>
      <c r="G131" s="5">
        <v>374.98</v>
      </c>
      <c r="H131" s="5">
        <v>506.56830000000002</v>
      </c>
      <c r="I131" s="5">
        <v>1180.4000000000001</v>
      </c>
      <c r="J131" s="5">
        <v>291.21170000000001</v>
      </c>
      <c r="K131" s="5">
        <v>1200.08</v>
      </c>
      <c r="L131" s="5">
        <v>1465.79</v>
      </c>
      <c r="M131" s="5">
        <v>1438.64</v>
      </c>
      <c r="N131" s="5">
        <v>1498.67</v>
      </c>
      <c r="O131" s="5">
        <v>1399.43</v>
      </c>
      <c r="P131" s="5">
        <v>703.7</v>
      </c>
      <c r="Q131" s="5">
        <v>285.27</v>
      </c>
      <c r="R131" s="5">
        <v>1144.94</v>
      </c>
      <c r="S131" s="5">
        <v>1068.6500000000001</v>
      </c>
      <c r="T131" s="5">
        <v>259.51</v>
      </c>
      <c r="U131" s="5">
        <v>477.73</v>
      </c>
      <c r="V131" s="5">
        <v>3648.9459999999999</v>
      </c>
      <c r="W131" s="5">
        <v>7365.3485000000001</v>
      </c>
      <c r="X131" s="5">
        <v>10908.5586</v>
      </c>
      <c r="Y131" s="5">
        <v>5503.9165000000003</v>
      </c>
      <c r="Z131" s="5">
        <v>9431.6743999999999</v>
      </c>
      <c r="AA131" s="5">
        <v>2321.0239999999999</v>
      </c>
      <c r="AB131" s="5">
        <v>29776.86</v>
      </c>
      <c r="AC131" s="5">
        <v>396.15</v>
      </c>
      <c r="AD131" s="5">
        <v>251.80199999999999</v>
      </c>
    </row>
    <row r="132" spans="5:30" ht="15">
      <c r="E132" s="9">
        <v>38077</v>
      </c>
      <c r="F132" s="5">
        <v>167.78</v>
      </c>
      <c r="G132" s="5">
        <v>376.1422</v>
      </c>
      <c r="H132" s="5">
        <v>511.3802</v>
      </c>
      <c r="I132" s="5">
        <v>1189.24</v>
      </c>
      <c r="J132" s="5">
        <v>292.6739</v>
      </c>
      <c r="K132" s="5">
        <v>1205.3399999999999</v>
      </c>
      <c r="L132" s="5">
        <v>1479.63</v>
      </c>
      <c r="M132" s="5">
        <v>1452.27</v>
      </c>
      <c r="N132" s="5">
        <v>1513.2</v>
      </c>
      <c r="O132" s="5">
        <v>1411.02</v>
      </c>
      <c r="P132" s="5">
        <v>708.48</v>
      </c>
      <c r="Q132" s="5">
        <v>292.39</v>
      </c>
      <c r="R132" s="5">
        <v>1126.21</v>
      </c>
      <c r="S132" s="5">
        <v>1059.1600000000001</v>
      </c>
      <c r="T132" s="5">
        <v>257.43</v>
      </c>
      <c r="U132" s="5">
        <v>482.06</v>
      </c>
      <c r="V132" s="5">
        <v>3665.1473999999998</v>
      </c>
      <c r="W132" s="5">
        <v>7369.6203999999998</v>
      </c>
      <c r="X132" s="5">
        <v>10947.720300000001</v>
      </c>
      <c r="Y132" s="5">
        <v>5527.7484000000004</v>
      </c>
      <c r="Z132" s="5">
        <v>9537.5920999999998</v>
      </c>
      <c r="AA132" s="5">
        <v>2450.944</v>
      </c>
      <c r="AB132" s="5">
        <v>29560.43</v>
      </c>
      <c r="AC132" s="5">
        <v>426.45</v>
      </c>
      <c r="AD132" s="5">
        <v>259.577</v>
      </c>
    </row>
    <row r="133" spans="5:30" ht="15">
      <c r="E133" s="9">
        <v>38107</v>
      </c>
      <c r="F133" s="5">
        <v>167.91</v>
      </c>
      <c r="G133" s="5">
        <v>372.42090000000002</v>
      </c>
      <c r="H133" s="5">
        <v>494.95850000000002</v>
      </c>
      <c r="I133" s="5">
        <v>1158.3</v>
      </c>
      <c r="J133" s="5">
        <v>288.18239999999997</v>
      </c>
      <c r="K133" s="5">
        <v>1183.8800000000001</v>
      </c>
      <c r="L133" s="5">
        <v>1433.11</v>
      </c>
      <c r="M133" s="5">
        <v>1406.13</v>
      </c>
      <c r="N133" s="5">
        <v>1467.36</v>
      </c>
      <c r="O133" s="5">
        <v>1363.01</v>
      </c>
      <c r="P133" s="5">
        <v>703.66</v>
      </c>
      <c r="Q133" s="5">
        <v>276.51</v>
      </c>
      <c r="R133" s="5">
        <v>1107.31</v>
      </c>
      <c r="S133" s="5">
        <v>1035.6600000000001</v>
      </c>
      <c r="T133" s="5">
        <v>250.93</v>
      </c>
      <c r="U133" s="5">
        <v>441.3</v>
      </c>
      <c r="V133" s="5">
        <v>3639.1615000000002</v>
      </c>
      <c r="W133" s="5">
        <v>7328.2031999999999</v>
      </c>
      <c r="X133" s="5">
        <v>10720.226699999999</v>
      </c>
      <c r="Y133" s="5">
        <v>5499.7780000000002</v>
      </c>
      <c r="Z133" s="5">
        <v>9266.7245000000003</v>
      </c>
      <c r="AA133" s="5">
        <v>2076.8319999999999</v>
      </c>
      <c r="AB133" s="5">
        <v>28602.81</v>
      </c>
      <c r="AC133" s="5">
        <v>386.75</v>
      </c>
      <c r="AD133" s="5">
        <v>254.97300000000001</v>
      </c>
    </row>
    <row r="134" spans="5:30" ht="15">
      <c r="E134" s="9">
        <v>38138</v>
      </c>
      <c r="F134" s="5">
        <v>168.03</v>
      </c>
      <c r="G134" s="5">
        <v>372.08629999999999</v>
      </c>
      <c r="H134" s="5">
        <v>493.34699999999998</v>
      </c>
      <c r="I134" s="5">
        <v>1153.6600000000001</v>
      </c>
      <c r="J134" s="5">
        <v>287.39019999999999</v>
      </c>
      <c r="K134" s="5">
        <v>1181.29</v>
      </c>
      <c r="L134" s="5">
        <v>1422.74</v>
      </c>
      <c r="M134" s="5">
        <v>1396.35</v>
      </c>
      <c r="N134" s="5">
        <v>1456.1</v>
      </c>
      <c r="O134" s="5">
        <v>1353.2</v>
      </c>
      <c r="P134" s="5">
        <v>691.74</v>
      </c>
      <c r="Q134" s="5">
        <v>272.41000000000003</v>
      </c>
      <c r="R134" s="5">
        <v>1120.68</v>
      </c>
      <c r="S134" s="5">
        <v>1042.6300000000001</v>
      </c>
      <c r="T134" s="5">
        <v>252.28</v>
      </c>
      <c r="U134" s="5">
        <v>431.26</v>
      </c>
      <c r="V134" s="5">
        <v>3607.2096000000001</v>
      </c>
      <c r="W134" s="5">
        <v>7305.3392000000003</v>
      </c>
      <c r="X134" s="5">
        <v>10699.751099999999</v>
      </c>
      <c r="Y134" s="5">
        <v>5480.8037999999997</v>
      </c>
      <c r="Z134" s="5">
        <v>9202.3207999999995</v>
      </c>
      <c r="AA134" s="5">
        <v>2223.4989999999998</v>
      </c>
      <c r="AB134" s="5">
        <v>28412.39</v>
      </c>
      <c r="AC134" s="5">
        <v>395.55</v>
      </c>
      <c r="AD134" s="5">
        <v>259.29599999999999</v>
      </c>
    </row>
    <row r="135" spans="5:30" ht="15">
      <c r="E135" s="9">
        <v>38168</v>
      </c>
      <c r="F135" s="5">
        <v>168.14</v>
      </c>
      <c r="G135" s="5">
        <v>372.06970000000001</v>
      </c>
      <c r="H135" s="5">
        <v>495.42599999999999</v>
      </c>
      <c r="I135" s="5">
        <v>1160.18</v>
      </c>
      <c r="J135" s="5">
        <v>287.90190000000001</v>
      </c>
      <c r="K135" s="5">
        <v>1191.74</v>
      </c>
      <c r="L135" s="5">
        <v>1429.02</v>
      </c>
      <c r="M135" s="5">
        <v>1402.73</v>
      </c>
      <c r="N135" s="5">
        <v>1462.07</v>
      </c>
      <c r="O135" s="5">
        <v>1359.64</v>
      </c>
      <c r="P135" s="5">
        <v>701.66</v>
      </c>
      <c r="Q135" s="5">
        <v>276.41000000000003</v>
      </c>
      <c r="R135" s="5">
        <v>1140.8399999999999</v>
      </c>
      <c r="S135" s="5">
        <v>1062.51</v>
      </c>
      <c r="T135" s="5">
        <v>256.89</v>
      </c>
      <c r="U135" s="5">
        <v>432.2</v>
      </c>
      <c r="V135" s="5">
        <v>3620.1956</v>
      </c>
      <c r="W135" s="5">
        <v>7433.7669999999998</v>
      </c>
      <c r="X135" s="5">
        <v>10813.7034</v>
      </c>
      <c r="Y135" s="5">
        <v>5489.6279000000004</v>
      </c>
      <c r="Z135" s="5">
        <v>9192.1982000000007</v>
      </c>
      <c r="AA135" s="5">
        <v>2290.0419999999999</v>
      </c>
      <c r="AB135" s="5">
        <v>28960.06</v>
      </c>
      <c r="AC135" s="5">
        <v>394.25</v>
      </c>
      <c r="AD135" s="5">
        <v>248.54499999999999</v>
      </c>
    </row>
    <row r="136" spans="5:30" ht="15">
      <c r="E136" s="9">
        <v>38198</v>
      </c>
      <c r="F136" s="5">
        <v>168.33</v>
      </c>
      <c r="G136" s="5">
        <v>373.39359999999999</v>
      </c>
      <c r="H136" s="5">
        <v>499.95670000000001</v>
      </c>
      <c r="I136" s="5">
        <v>1171.68</v>
      </c>
      <c r="J136" s="5">
        <v>289.88339999999999</v>
      </c>
      <c r="K136" s="5">
        <v>1202.42</v>
      </c>
      <c r="L136" s="5">
        <v>1446.8</v>
      </c>
      <c r="M136" s="5">
        <v>1420.44</v>
      </c>
      <c r="N136" s="5">
        <v>1479.1</v>
      </c>
      <c r="O136" s="5">
        <v>1379.74</v>
      </c>
      <c r="P136" s="5">
        <v>711.2</v>
      </c>
      <c r="Q136" s="5">
        <v>284.62</v>
      </c>
      <c r="R136" s="5">
        <v>1101.72</v>
      </c>
      <c r="S136" s="5">
        <v>1026.99</v>
      </c>
      <c r="T136" s="5">
        <v>248.45</v>
      </c>
      <c r="U136" s="5">
        <v>423.14</v>
      </c>
      <c r="V136" s="5">
        <v>3599.7415000000001</v>
      </c>
      <c r="W136" s="5">
        <v>7364.5586000000003</v>
      </c>
      <c r="X136" s="5">
        <v>10610.1895</v>
      </c>
      <c r="Y136" s="5">
        <v>5525.4201999999996</v>
      </c>
      <c r="Z136" s="5">
        <v>9161.9559000000008</v>
      </c>
      <c r="AA136" s="5">
        <v>2291.0070000000001</v>
      </c>
      <c r="AB136" s="5">
        <v>26841.35</v>
      </c>
      <c r="AC136" s="5">
        <v>391.05</v>
      </c>
      <c r="AD136" s="5">
        <v>252.93600000000001</v>
      </c>
    </row>
    <row r="137" spans="5:30" ht="15">
      <c r="E137" s="9">
        <v>38230</v>
      </c>
      <c r="F137" s="5">
        <v>168.54</v>
      </c>
      <c r="G137" s="5">
        <v>375.99450000000002</v>
      </c>
      <c r="H137" s="5">
        <v>510.27890000000002</v>
      </c>
      <c r="I137" s="5">
        <v>1194.03</v>
      </c>
      <c r="J137" s="5">
        <v>294.51429999999999</v>
      </c>
      <c r="K137" s="5">
        <v>1220.96</v>
      </c>
      <c r="L137" s="5">
        <v>1481.2</v>
      </c>
      <c r="M137" s="5">
        <v>1455.4</v>
      </c>
      <c r="N137" s="5">
        <v>1512.39</v>
      </c>
      <c r="O137" s="5">
        <v>1412.96</v>
      </c>
      <c r="P137" s="5">
        <v>725.15</v>
      </c>
      <c r="Q137" s="5">
        <v>296.37</v>
      </c>
      <c r="R137" s="5">
        <v>1104.24</v>
      </c>
      <c r="S137" s="5">
        <v>1029.6300000000001</v>
      </c>
      <c r="T137" s="5">
        <v>249.51</v>
      </c>
      <c r="U137" s="5">
        <v>439.75</v>
      </c>
      <c r="V137" s="5">
        <v>3599.4175</v>
      </c>
      <c r="W137" s="5">
        <v>7400.7186000000002</v>
      </c>
      <c r="X137" s="5">
        <v>10571.250099999999</v>
      </c>
      <c r="Y137" s="5">
        <v>5571.0050000000001</v>
      </c>
      <c r="Z137" s="5">
        <v>9140.6085000000003</v>
      </c>
      <c r="AA137" s="5">
        <v>2471.59</v>
      </c>
      <c r="AB137" s="5">
        <v>26432.69</v>
      </c>
      <c r="AC137" s="5">
        <v>409.85</v>
      </c>
      <c r="AD137" s="5">
        <v>248.32599999999999</v>
      </c>
    </row>
    <row r="138" spans="5:30" ht="15">
      <c r="E138" s="9">
        <v>38260</v>
      </c>
      <c r="F138" s="5">
        <v>168.73</v>
      </c>
      <c r="G138" s="5">
        <v>375.67849999999999</v>
      </c>
      <c r="H138" s="5">
        <v>511.62299999999999</v>
      </c>
      <c r="I138" s="5">
        <v>1197.27</v>
      </c>
      <c r="J138" s="5">
        <v>295.76609999999999</v>
      </c>
      <c r="K138" s="5">
        <v>1222.82</v>
      </c>
      <c r="L138" s="5">
        <v>1490.32</v>
      </c>
      <c r="M138" s="5">
        <v>1465.95</v>
      </c>
      <c r="N138" s="5">
        <v>1518.69</v>
      </c>
      <c r="O138" s="5">
        <v>1424.3</v>
      </c>
      <c r="P138" s="5">
        <v>735.68</v>
      </c>
      <c r="Q138" s="5">
        <v>301.3</v>
      </c>
      <c r="R138" s="5">
        <v>1114.58</v>
      </c>
      <c r="S138" s="5">
        <v>1047.8599999999999</v>
      </c>
      <c r="T138" s="5">
        <v>254.37</v>
      </c>
      <c r="U138" s="5">
        <v>464.15</v>
      </c>
      <c r="V138" s="5">
        <v>3629.0767000000001</v>
      </c>
      <c r="W138" s="5">
        <v>7501.7384000000002</v>
      </c>
      <c r="X138" s="5">
        <v>10781.3009</v>
      </c>
      <c r="Y138" s="5">
        <v>5590.8377</v>
      </c>
      <c r="Z138" s="5">
        <v>9216.9326000000001</v>
      </c>
      <c r="AA138" s="5">
        <v>2476.3829999999998</v>
      </c>
      <c r="AB138" s="5">
        <v>27489.68</v>
      </c>
      <c r="AC138" s="5">
        <v>418.25</v>
      </c>
      <c r="AD138" s="5">
        <v>265.32799999999997</v>
      </c>
    </row>
    <row r="139" spans="5:30" ht="15">
      <c r="E139" s="9">
        <v>38289</v>
      </c>
      <c r="F139" s="5">
        <v>168.94</v>
      </c>
      <c r="G139" s="5">
        <v>376.85070000000002</v>
      </c>
      <c r="H139" s="5">
        <v>515.66160000000002</v>
      </c>
      <c r="I139" s="5">
        <v>1207.31</v>
      </c>
      <c r="J139" s="5">
        <v>297.94799999999998</v>
      </c>
      <c r="K139" s="5">
        <v>1232.67</v>
      </c>
      <c r="L139" s="5">
        <v>1504.87</v>
      </c>
      <c r="M139" s="5">
        <v>1481.32</v>
      </c>
      <c r="N139" s="5">
        <v>1531.22</v>
      </c>
      <c r="O139" s="5">
        <v>1441.22</v>
      </c>
      <c r="P139" s="5">
        <v>748.97</v>
      </c>
      <c r="Q139" s="5">
        <v>306.14999999999998</v>
      </c>
      <c r="R139" s="5">
        <v>1130.2</v>
      </c>
      <c r="S139" s="5">
        <v>1072.7</v>
      </c>
      <c r="T139" s="5">
        <v>260.38</v>
      </c>
      <c r="U139" s="5">
        <v>474.27</v>
      </c>
      <c r="V139" s="5">
        <v>3657.3108999999999</v>
      </c>
      <c r="W139" s="5">
        <v>7613.4393</v>
      </c>
      <c r="X139" s="5">
        <v>10832.512000000001</v>
      </c>
      <c r="Y139" s="5">
        <v>5608.2251999999999</v>
      </c>
      <c r="Z139" s="5">
        <v>9294.1705000000002</v>
      </c>
      <c r="AA139" s="5">
        <v>2588.9630000000002</v>
      </c>
      <c r="AB139" s="5">
        <v>27862.63</v>
      </c>
      <c r="AC139" s="5">
        <v>428.55</v>
      </c>
      <c r="AD139" s="5">
        <v>269.81799999999998</v>
      </c>
    </row>
    <row r="140" spans="5:30" ht="15">
      <c r="E140" s="9">
        <v>38321</v>
      </c>
      <c r="F140" s="5">
        <v>169.16</v>
      </c>
      <c r="G140" s="5">
        <v>374.97109999999998</v>
      </c>
      <c r="H140" s="5">
        <v>508.73149999999998</v>
      </c>
      <c r="I140" s="5">
        <v>1197.68</v>
      </c>
      <c r="J140" s="5">
        <v>298.56700000000001</v>
      </c>
      <c r="K140" s="5">
        <v>1229.5999999999999</v>
      </c>
      <c r="L140" s="5">
        <v>1489.56</v>
      </c>
      <c r="M140" s="5">
        <v>1466.74</v>
      </c>
      <c r="N140" s="5">
        <v>1515.66</v>
      </c>
      <c r="O140" s="5">
        <v>1423.39</v>
      </c>
      <c r="P140" s="5">
        <v>758</v>
      </c>
      <c r="Q140" s="5">
        <v>308.29000000000002</v>
      </c>
      <c r="R140" s="5">
        <v>1173.82</v>
      </c>
      <c r="S140" s="5">
        <v>1127.3399999999999</v>
      </c>
      <c r="T140" s="5">
        <v>274.17</v>
      </c>
      <c r="U140" s="5">
        <v>517.95000000000005</v>
      </c>
      <c r="V140" s="5">
        <v>3753.8272999999999</v>
      </c>
      <c r="W140" s="5">
        <v>7920.4893000000002</v>
      </c>
      <c r="X140" s="5">
        <v>11197.5677</v>
      </c>
      <c r="Y140" s="5">
        <v>5668.0649999999996</v>
      </c>
      <c r="Z140" s="5">
        <v>9554.8719999999994</v>
      </c>
      <c r="AA140" s="5">
        <v>2709.0239999999999</v>
      </c>
      <c r="AB140" s="5">
        <v>30238.55</v>
      </c>
      <c r="AC140" s="5">
        <v>450.95</v>
      </c>
      <c r="AD140" s="5">
        <v>266.58600000000001</v>
      </c>
    </row>
    <row r="141" spans="5:30" ht="15">
      <c r="E141" s="9">
        <v>38352</v>
      </c>
      <c r="F141" s="5">
        <v>169.47</v>
      </c>
      <c r="G141" s="5">
        <v>375.74599999999998</v>
      </c>
      <c r="H141" s="5">
        <v>513.78819999999996</v>
      </c>
      <c r="I141" s="5">
        <v>1208.7</v>
      </c>
      <c r="J141" s="5">
        <v>300.67340000000002</v>
      </c>
      <c r="K141" s="5">
        <v>1238.26</v>
      </c>
      <c r="L141" s="5">
        <v>1509.94</v>
      </c>
      <c r="M141" s="5">
        <v>1489.64</v>
      </c>
      <c r="N141" s="5">
        <v>1531.88</v>
      </c>
      <c r="O141" s="5">
        <v>1444.69</v>
      </c>
      <c r="P141" s="5">
        <v>769.3</v>
      </c>
      <c r="Q141" s="5">
        <v>316.01</v>
      </c>
      <c r="R141" s="5">
        <v>1211.92</v>
      </c>
      <c r="S141" s="5">
        <v>1169.3399999999999</v>
      </c>
      <c r="T141" s="5">
        <v>284.52</v>
      </c>
      <c r="U141" s="5">
        <v>542.16999999999996</v>
      </c>
      <c r="V141" s="5">
        <v>3810.3224</v>
      </c>
      <c r="W141" s="5">
        <v>8142.1837999999998</v>
      </c>
      <c r="X141" s="5">
        <v>11394.7569</v>
      </c>
      <c r="Y141" s="5">
        <v>5710.3487999999998</v>
      </c>
      <c r="Z141" s="5">
        <v>9612.7744999999995</v>
      </c>
      <c r="AA141" s="5">
        <v>2839.7049999999999</v>
      </c>
      <c r="AB141" s="5">
        <v>32185.26</v>
      </c>
      <c r="AC141" s="5">
        <v>438.45</v>
      </c>
      <c r="AD141" s="5">
        <v>253.495</v>
      </c>
    </row>
    <row r="142" spans="5:30" ht="15">
      <c r="E142" s="9">
        <v>38383</v>
      </c>
      <c r="F142" s="5">
        <v>169.77</v>
      </c>
      <c r="G142" s="5">
        <v>375.59429999999998</v>
      </c>
      <c r="H142" s="5">
        <v>517.53319999999997</v>
      </c>
      <c r="I142" s="5">
        <v>1216.29</v>
      </c>
      <c r="J142" s="5">
        <v>302.94900000000001</v>
      </c>
      <c r="K142" s="5">
        <v>1244.8499999999999</v>
      </c>
      <c r="L142" s="5">
        <v>1521.97</v>
      </c>
      <c r="M142" s="5">
        <v>1502.1</v>
      </c>
      <c r="N142" s="5">
        <v>1541.96</v>
      </c>
      <c r="O142" s="5">
        <v>1461.86</v>
      </c>
      <c r="P142" s="5">
        <v>768.3</v>
      </c>
      <c r="Q142" s="5">
        <v>317.99</v>
      </c>
      <c r="R142" s="5">
        <v>1181.27</v>
      </c>
      <c r="S142" s="5">
        <v>1142.3499999999999</v>
      </c>
      <c r="T142" s="5">
        <v>278.3</v>
      </c>
      <c r="U142" s="5">
        <v>542.28</v>
      </c>
      <c r="V142" s="5">
        <v>3810.9702000000002</v>
      </c>
      <c r="W142" s="5">
        <v>8130.1333999999997</v>
      </c>
      <c r="X142" s="5">
        <v>11328.439399999999</v>
      </c>
      <c r="Y142" s="5">
        <v>5727.5369000000001</v>
      </c>
      <c r="Z142" s="5">
        <v>9557.4048999999995</v>
      </c>
      <c r="AA142" s="5">
        <v>2615.0340000000001</v>
      </c>
      <c r="AB142" s="5">
        <v>30845.39</v>
      </c>
      <c r="AC142" s="5">
        <v>422.6</v>
      </c>
      <c r="AD142" s="5">
        <v>256.14</v>
      </c>
    </row>
    <row r="143" spans="5:30" ht="15">
      <c r="E143" s="9">
        <v>38411</v>
      </c>
      <c r="F143" s="5">
        <v>170.04</v>
      </c>
      <c r="G143" s="5">
        <v>374.7371</v>
      </c>
      <c r="H143" s="5">
        <v>513.30610000000001</v>
      </c>
      <c r="I143" s="5">
        <v>1209.1099999999999</v>
      </c>
      <c r="J143" s="5">
        <v>301.68009999999998</v>
      </c>
      <c r="K143" s="5">
        <v>1239.08</v>
      </c>
      <c r="L143" s="5">
        <v>1512.9</v>
      </c>
      <c r="M143" s="5">
        <v>1492.88</v>
      </c>
      <c r="N143" s="5">
        <v>1533.35</v>
      </c>
      <c r="O143" s="5">
        <v>1452.32</v>
      </c>
      <c r="P143" s="5">
        <v>779.6</v>
      </c>
      <c r="Q143" s="5">
        <v>320.11</v>
      </c>
      <c r="R143" s="5">
        <v>1203.5999999999999</v>
      </c>
      <c r="S143" s="5">
        <v>1176.7</v>
      </c>
      <c r="T143" s="5">
        <v>287.49</v>
      </c>
      <c r="U143" s="5">
        <v>588.67999999999995</v>
      </c>
      <c r="V143" s="5">
        <v>3865.0479</v>
      </c>
      <c r="W143" s="5">
        <v>8242.7356999999993</v>
      </c>
      <c r="X143" s="5">
        <v>11569.508599999999</v>
      </c>
      <c r="Y143" s="5">
        <v>5772.3834999999999</v>
      </c>
      <c r="Z143" s="5">
        <v>9730.0116999999991</v>
      </c>
      <c r="AA143" s="5">
        <v>2673.2060000000001</v>
      </c>
      <c r="AB143" s="5">
        <v>30871.07</v>
      </c>
      <c r="AC143" s="5">
        <v>435.65</v>
      </c>
      <c r="AD143" s="5">
        <v>274.23500000000001</v>
      </c>
    </row>
    <row r="144" spans="5:30" ht="15">
      <c r="E144" s="9">
        <v>38442</v>
      </c>
      <c r="F144" s="5">
        <v>170.44</v>
      </c>
      <c r="G144" s="5">
        <v>374.72840000000002</v>
      </c>
      <c r="H144" s="5">
        <v>511.61579999999998</v>
      </c>
      <c r="I144" s="5">
        <v>1202.9000000000001</v>
      </c>
      <c r="J144" s="5">
        <v>302.1499</v>
      </c>
      <c r="K144" s="5">
        <v>1236.78</v>
      </c>
      <c r="L144" s="5">
        <v>1492.85</v>
      </c>
      <c r="M144" s="5">
        <v>1466.74</v>
      </c>
      <c r="N144" s="5">
        <v>1520.96</v>
      </c>
      <c r="O144" s="5">
        <v>1437.12</v>
      </c>
      <c r="P144" s="5">
        <v>756.93</v>
      </c>
      <c r="Q144" s="5">
        <v>311.95999999999998</v>
      </c>
      <c r="R144" s="5">
        <v>1180.5899999999999</v>
      </c>
      <c r="S144" s="5">
        <v>1151.18</v>
      </c>
      <c r="T144" s="5">
        <v>280.51</v>
      </c>
      <c r="U144" s="5">
        <v>548.69000000000005</v>
      </c>
      <c r="V144" s="5">
        <v>3845.1042000000002</v>
      </c>
      <c r="W144" s="5">
        <v>8226.4151000000002</v>
      </c>
      <c r="X144" s="5">
        <v>11447.6816</v>
      </c>
      <c r="Y144" s="5">
        <v>5752.1801999999998</v>
      </c>
      <c r="Z144" s="5">
        <v>9671.5342999999993</v>
      </c>
      <c r="AA144" s="5">
        <v>2624.2530000000002</v>
      </c>
      <c r="AB144" s="5">
        <v>29531.24</v>
      </c>
      <c r="AC144" s="5">
        <v>428.35</v>
      </c>
      <c r="AD144" s="5">
        <v>284.012</v>
      </c>
    </row>
    <row r="145" spans="5:30" ht="15">
      <c r="E145" s="9">
        <v>38471</v>
      </c>
      <c r="F145" s="5">
        <v>170.84</v>
      </c>
      <c r="G145" s="5">
        <v>376.85789999999997</v>
      </c>
      <c r="H145" s="5">
        <v>520.55740000000003</v>
      </c>
      <c r="I145" s="5">
        <v>1219.18</v>
      </c>
      <c r="J145" s="5">
        <v>305.90089999999998</v>
      </c>
      <c r="K145" s="5">
        <v>1250.47</v>
      </c>
      <c r="L145" s="5">
        <v>1512.21</v>
      </c>
      <c r="M145" s="5">
        <v>1481.65</v>
      </c>
      <c r="N145" s="5">
        <v>1544.85</v>
      </c>
      <c r="O145" s="5">
        <v>1462.3</v>
      </c>
      <c r="P145" s="5">
        <v>749.55</v>
      </c>
      <c r="Q145" s="5">
        <v>316.88</v>
      </c>
      <c r="R145" s="5">
        <v>1156.8499999999999</v>
      </c>
      <c r="S145" s="5">
        <v>1123.6400000000001</v>
      </c>
      <c r="T145" s="5">
        <v>273.7</v>
      </c>
      <c r="U145" s="5">
        <v>531.99</v>
      </c>
      <c r="V145" s="5">
        <v>3786.9277999999999</v>
      </c>
      <c r="W145" s="5">
        <v>8086.0725000000002</v>
      </c>
      <c r="X145" s="5">
        <v>11192.169400000001</v>
      </c>
      <c r="Y145" s="5">
        <v>5703.6318000000001</v>
      </c>
      <c r="Z145" s="5">
        <v>9568.9192999999996</v>
      </c>
      <c r="AA145" s="5">
        <v>2747.0309999999999</v>
      </c>
      <c r="AB145" s="5">
        <v>27704.54</v>
      </c>
      <c r="AC145" s="5">
        <v>434.39</v>
      </c>
      <c r="AD145" s="5">
        <v>267.44099999999997</v>
      </c>
    </row>
    <row r="146" spans="5:30" ht="15">
      <c r="E146" s="9">
        <v>38503</v>
      </c>
      <c r="F146" s="5">
        <v>171.28</v>
      </c>
      <c r="G146" s="5">
        <v>378.27260000000001</v>
      </c>
      <c r="H146" s="5">
        <v>527.00340000000006</v>
      </c>
      <c r="I146" s="5">
        <v>1232.3699999999999</v>
      </c>
      <c r="J146" s="5">
        <v>308.88260000000002</v>
      </c>
      <c r="K146" s="5">
        <v>1260.32</v>
      </c>
      <c r="L146" s="5">
        <v>1533</v>
      </c>
      <c r="M146" s="5">
        <v>1503.87</v>
      </c>
      <c r="N146" s="5">
        <v>1562.64</v>
      </c>
      <c r="O146" s="5">
        <v>1486.68</v>
      </c>
      <c r="P146" s="5">
        <v>762.86</v>
      </c>
      <c r="Q146" s="5">
        <v>326.36</v>
      </c>
      <c r="R146" s="5">
        <v>1191.5</v>
      </c>
      <c r="S146" s="5">
        <v>1140.68</v>
      </c>
      <c r="T146" s="5">
        <v>278.07</v>
      </c>
      <c r="U146" s="5">
        <v>548.15</v>
      </c>
      <c r="V146" s="5">
        <v>3795.1453999999999</v>
      </c>
      <c r="W146" s="5">
        <v>8183.1054000000004</v>
      </c>
      <c r="X146" s="5">
        <v>11365.8719</v>
      </c>
      <c r="Y146" s="5">
        <v>5697.7</v>
      </c>
      <c r="Z146" s="5">
        <v>9601.9321</v>
      </c>
      <c r="AA146" s="5">
        <v>2845.2539999999999</v>
      </c>
      <c r="AB146" s="5">
        <v>28943.07</v>
      </c>
      <c r="AC146" s="5">
        <v>417.25</v>
      </c>
      <c r="AD146" s="5">
        <v>265.36500000000001</v>
      </c>
    </row>
    <row r="147" spans="5:30" ht="15">
      <c r="E147" s="9">
        <v>38533</v>
      </c>
      <c r="F147" s="5">
        <v>171.65</v>
      </c>
      <c r="G147" s="5">
        <v>379.00689999999997</v>
      </c>
      <c r="H147" s="5">
        <v>530.25490000000002</v>
      </c>
      <c r="I147" s="5">
        <v>1239.0899999999999</v>
      </c>
      <c r="J147" s="5">
        <v>311.51350000000002</v>
      </c>
      <c r="K147" s="5">
        <v>1264.8900000000001</v>
      </c>
      <c r="L147" s="5">
        <v>1545.57</v>
      </c>
      <c r="M147" s="5">
        <v>1517.65</v>
      </c>
      <c r="N147" s="5">
        <v>1573.28</v>
      </c>
      <c r="O147" s="5">
        <v>1500.66</v>
      </c>
      <c r="P147" s="5">
        <v>777.83</v>
      </c>
      <c r="Q147" s="5">
        <v>332.16</v>
      </c>
      <c r="R147" s="5">
        <v>1191.33</v>
      </c>
      <c r="S147" s="5">
        <v>1148.81</v>
      </c>
      <c r="T147" s="5">
        <v>280.44</v>
      </c>
      <c r="U147" s="5">
        <v>565.16999999999996</v>
      </c>
      <c r="V147" s="5">
        <v>3844.6341000000002</v>
      </c>
      <c r="W147" s="5">
        <v>8291.5314999999991</v>
      </c>
      <c r="X147" s="5">
        <v>11588.642900000001</v>
      </c>
      <c r="Y147" s="5">
        <v>5752.3410000000003</v>
      </c>
      <c r="Z147" s="5">
        <v>9703.2325000000001</v>
      </c>
      <c r="AA147" s="5">
        <v>2978.97</v>
      </c>
      <c r="AB147" s="5">
        <v>30178.94</v>
      </c>
      <c r="AC147" s="5">
        <v>435.5</v>
      </c>
      <c r="AD147" s="5">
        <v>269.83199999999999</v>
      </c>
    </row>
    <row r="148" spans="5:30" ht="15">
      <c r="E148" s="9">
        <v>38562</v>
      </c>
      <c r="F148" s="5">
        <v>172.05</v>
      </c>
      <c r="G148" s="5">
        <v>377.92570000000001</v>
      </c>
      <c r="H148" s="5">
        <v>523.03719999999998</v>
      </c>
      <c r="I148" s="5">
        <v>1227.82</v>
      </c>
      <c r="J148" s="5">
        <v>309.80369999999999</v>
      </c>
      <c r="K148" s="5">
        <v>1258.55</v>
      </c>
      <c r="L148" s="5">
        <v>1530.31</v>
      </c>
      <c r="M148" s="5">
        <v>1503.66</v>
      </c>
      <c r="N148" s="5">
        <v>1557.36</v>
      </c>
      <c r="O148" s="5">
        <v>1482.09</v>
      </c>
      <c r="P148" s="5">
        <v>791.43</v>
      </c>
      <c r="Q148" s="5">
        <v>331.34</v>
      </c>
      <c r="R148" s="5">
        <v>1234.18</v>
      </c>
      <c r="S148" s="5">
        <v>1188.1600000000001</v>
      </c>
      <c r="T148" s="5">
        <v>290.57</v>
      </c>
      <c r="U148" s="5">
        <v>602.55999999999995</v>
      </c>
      <c r="V148" s="5">
        <v>3913.9529000000002</v>
      </c>
      <c r="W148" s="5">
        <v>8486.4653999999991</v>
      </c>
      <c r="X148" s="5">
        <v>11930.392</v>
      </c>
      <c r="Y148" s="5">
        <v>5829.4223000000002</v>
      </c>
      <c r="Z148" s="5">
        <v>9775.1334000000006</v>
      </c>
      <c r="AA148" s="5">
        <v>3174.61</v>
      </c>
      <c r="AB148" s="5">
        <v>32497.7</v>
      </c>
      <c r="AC148" s="5">
        <v>429.8</v>
      </c>
      <c r="AD148" s="5">
        <v>281.92899999999997</v>
      </c>
    </row>
    <row r="149" spans="5:30" ht="15">
      <c r="E149" s="9">
        <v>38595</v>
      </c>
      <c r="F149" s="5">
        <v>172.54</v>
      </c>
      <c r="G149" s="5">
        <v>380.27589999999998</v>
      </c>
      <c r="H149" s="5">
        <v>531.45749999999998</v>
      </c>
      <c r="I149" s="5">
        <v>1243.55</v>
      </c>
      <c r="J149" s="5">
        <v>312.89089999999999</v>
      </c>
      <c r="K149" s="5">
        <v>1269.7</v>
      </c>
      <c r="L149" s="5">
        <v>1553.73</v>
      </c>
      <c r="M149" s="5">
        <v>1526.59</v>
      </c>
      <c r="N149" s="5">
        <v>1580.2</v>
      </c>
      <c r="O149" s="5">
        <v>1509.45</v>
      </c>
      <c r="P149" s="5">
        <v>792.94</v>
      </c>
      <c r="Q149" s="5">
        <v>337.77</v>
      </c>
      <c r="R149" s="5">
        <v>1220.33</v>
      </c>
      <c r="S149" s="5">
        <v>1194.81</v>
      </c>
      <c r="T149" s="5">
        <v>292.2</v>
      </c>
      <c r="U149" s="5">
        <v>606.23</v>
      </c>
      <c r="V149" s="5">
        <v>3947.0648999999999</v>
      </c>
      <c r="W149" s="5">
        <v>8561.7404000000006</v>
      </c>
      <c r="X149" s="5">
        <v>12018.796200000001</v>
      </c>
      <c r="Y149" s="5">
        <v>5869.7035999999998</v>
      </c>
      <c r="Z149" s="5">
        <v>9846.0030999999999</v>
      </c>
      <c r="AA149" s="5">
        <v>3039.82</v>
      </c>
      <c r="AB149" s="5">
        <v>32153.119999999999</v>
      </c>
      <c r="AC149" s="5">
        <v>435.2</v>
      </c>
      <c r="AD149" s="5">
        <v>303.209</v>
      </c>
    </row>
    <row r="150" spans="5:30" ht="15">
      <c r="E150" s="9">
        <v>38625</v>
      </c>
      <c r="F150" s="5">
        <v>173.05</v>
      </c>
      <c r="G150" s="5">
        <v>379.32490000000001</v>
      </c>
      <c r="H150" s="5">
        <v>524.38980000000004</v>
      </c>
      <c r="I150" s="5">
        <v>1230.74</v>
      </c>
      <c r="J150" s="5">
        <v>311.40030000000002</v>
      </c>
      <c r="K150" s="5">
        <v>1263.02</v>
      </c>
      <c r="L150" s="5">
        <v>1528.65</v>
      </c>
      <c r="M150" s="5">
        <v>1498.33</v>
      </c>
      <c r="N150" s="5">
        <v>1560.84</v>
      </c>
      <c r="O150" s="5">
        <v>1478.7</v>
      </c>
      <c r="P150" s="5">
        <v>785.03</v>
      </c>
      <c r="Q150" s="5">
        <v>343.48</v>
      </c>
      <c r="R150" s="5">
        <v>1228.81</v>
      </c>
      <c r="S150" s="5">
        <v>1224.31</v>
      </c>
      <c r="T150" s="5">
        <v>300.60000000000002</v>
      </c>
      <c r="U150" s="5">
        <v>661.32</v>
      </c>
      <c r="V150" s="5">
        <v>4007.2970999999998</v>
      </c>
      <c r="W150" s="5">
        <v>8647.1864999999998</v>
      </c>
      <c r="X150" s="5">
        <v>12289.5797</v>
      </c>
      <c r="Y150" s="5">
        <v>5938.6727000000001</v>
      </c>
      <c r="Z150" s="5">
        <v>10053.5569</v>
      </c>
      <c r="AA150" s="5">
        <v>3036.7539999999999</v>
      </c>
      <c r="AB150" s="5">
        <v>32374.73</v>
      </c>
      <c r="AC150" s="5">
        <v>469.3</v>
      </c>
      <c r="AD150" s="5">
        <v>317.31599999999997</v>
      </c>
    </row>
    <row r="151" spans="5:30" ht="15">
      <c r="E151" s="9">
        <v>38656</v>
      </c>
      <c r="F151" s="5">
        <v>173.51</v>
      </c>
      <c r="G151" s="5">
        <v>379.2645</v>
      </c>
      <c r="H151" s="5">
        <v>520.25599999999997</v>
      </c>
      <c r="I151" s="5">
        <v>1221</v>
      </c>
      <c r="J151" s="5">
        <v>309.44290000000001</v>
      </c>
      <c r="K151" s="5">
        <v>1254.22</v>
      </c>
      <c r="L151" s="5">
        <v>1511</v>
      </c>
      <c r="M151" s="5">
        <v>1478.08</v>
      </c>
      <c r="N151" s="5">
        <v>1547.23</v>
      </c>
      <c r="O151" s="5">
        <v>1458.85</v>
      </c>
      <c r="P151" s="5">
        <v>779.55</v>
      </c>
      <c r="Q151" s="5">
        <v>338.4</v>
      </c>
      <c r="R151" s="5">
        <v>1207.01</v>
      </c>
      <c r="S151" s="5">
        <v>1193.8800000000001</v>
      </c>
      <c r="T151" s="5">
        <v>292.32</v>
      </c>
      <c r="U151" s="5">
        <v>617.41</v>
      </c>
      <c r="V151" s="5">
        <v>3946.7869000000001</v>
      </c>
      <c r="W151" s="5">
        <v>8491.7101000000002</v>
      </c>
      <c r="X151" s="5">
        <v>12059.3959</v>
      </c>
      <c r="Y151" s="5">
        <v>5917.5904</v>
      </c>
      <c r="Z151" s="5">
        <v>9989.8173000000006</v>
      </c>
      <c r="AA151" s="5">
        <v>2953.73</v>
      </c>
      <c r="AB151" s="5">
        <v>31205.56</v>
      </c>
      <c r="AC151" s="5">
        <v>465.19</v>
      </c>
      <c r="AD151" s="5">
        <v>297.37599999999998</v>
      </c>
    </row>
    <row r="152" spans="5:30" ht="15">
      <c r="E152" s="9">
        <v>38686</v>
      </c>
      <c r="F152" s="5">
        <v>174.07</v>
      </c>
      <c r="G152" s="5">
        <v>380.48399999999998</v>
      </c>
      <c r="H152" s="5">
        <v>522.85400000000004</v>
      </c>
      <c r="I152" s="5">
        <v>1226.4000000000001</v>
      </c>
      <c r="J152" s="5">
        <v>310.91449999999998</v>
      </c>
      <c r="K152" s="5">
        <v>1258.3</v>
      </c>
      <c r="L152" s="5">
        <v>1519.88</v>
      </c>
      <c r="M152" s="5">
        <v>1486.13</v>
      </c>
      <c r="N152" s="5">
        <v>1556.65</v>
      </c>
      <c r="O152" s="5">
        <v>1469.41</v>
      </c>
      <c r="P152" s="5">
        <v>783.62</v>
      </c>
      <c r="Q152" s="5">
        <v>343.57</v>
      </c>
      <c r="R152" s="5">
        <v>1249.48</v>
      </c>
      <c r="S152" s="5">
        <v>1231.4100000000001</v>
      </c>
      <c r="T152" s="5">
        <v>302.43</v>
      </c>
      <c r="U152" s="5">
        <v>667.99</v>
      </c>
      <c r="V152" s="5">
        <v>4013.9612999999999</v>
      </c>
      <c r="W152" s="5">
        <v>8601.2531999999992</v>
      </c>
      <c r="X152" s="5">
        <v>12316.864</v>
      </c>
      <c r="Y152" s="5">
        <v>5966.3513000000003</v>
      </c>
      <c r="Z152" s="5">
        <v>10135.8685</v>
      </c>
      <c r="AA152" s="5">
        <v>3081.87</v>
      </c>
      <c r="AB152" s="5">
        <v>32319.06</v>
      </c>
      <c r="AC152" s="5">
        <v>493.08</v>
      </c>
      <c r="AD152" s="5">
        <v>298.14400000000001</v>
      </c>
    </row>
    <row r="153" spans="5:30" ht="15">
      <c r="E153" s="9">
        <v>38716</v>
      </c>
      <c r="F153" s="5">
        <v>174.64</v>
      </c>
      <c r="G153" s="5">
        <v>381.93290000000002</v>
      </c>
      <c r="H153" s="5">
        <v>528.15290000000005</v>
      </c>
      <c r="I153" s="5">
        <v>1238.06</v>
      </c>
      <c r="J153" s="5">
        <v>313.54219999999998</v>
      </c>
      <c r="K153" s="5">
        <v>1270.6099999999999</v>
      </c>
      <c r="L153" s="5">
        <v>1535.25</v>
      </c>
      <c r="M153" s="5">
        <v>1501.3</v>
      </c>
      <c r="N153" s="5">
        <v>1571.23</v>
      </c>
      <c r="O153" s="5">
        <v>1488.36</v>
      </c>
      <c r="P153" s="5">
        <v>790.35</v>
      </c>
      <c r="Q153" s="5">
        <v>349.92</v>
      </c>
      <c r="R153" s="5">
        <v>1248.29</v>
      </c>
      <c r="S153" s="5">
        <v>1257.78</v>
      </c>
      <c r="T153" s="5">
        <v>309.63</v>
      </c>
      <c r="U153" s="5">
        <v>706.48</v>
      </c>
      <c r="V153" s="5">
        <v>4094.5616</v>
      </c>
      <c r="W153" s="5">
        <v>8736.0347999999994</v>
      </c>
      <c r="X153" s="5">
        <v>12602.122600000001</v>
      </c>
      <c r="Y153" s="5">
        <v>6054.3549999999996</v>
      </c>
      <c r="Z153" s="5">
        <v>10265.1008</v>
      </c>
      <c r="AA153" s="5">
        <v>3075.06</v>
      </c>
      <c r="AB153" s="5">
        <v>32576.23</v>
      </c>
      <c r="AC153" s="5">
        <v>517</v>
      </c>
      <c r="AD153" s="5">
        <v>307.64999999999998</v>
      </c>
    </row>
    <row r="154" spans="5:30" ht="15">
      <c r="E154" s="9">
        <v>38748</v>
      </c>
      <c r="F154" s="5">
        <v>175.19</v>
      </c>
      <c r="G154" s="5">
        <v>382.55590000000001</v>
      </c>
      <c r="H154" s="5">
        <v>526.55330000000004</v>
      </c>
      <c r="I154" s="5">
        <v>1238.1300000000001</v>
      </c>
      <c r="J154" s="5">
        <v>313.29020000000003</v>
      </c>
      <c r="K154" s="5">
        <v>1274.7</v>
      </c>
      <c r="L154" s="5">
        <v>1532.02</v>
      </c>
      <c r="M154" s="5">
        <v>1496.92</v>
      </c>
      <c r="N154" s="5">
        <v>1569.83</v>
      </c>
      <c r="O154" s="5">
        <v>1483.33</v>
      </c>
      <c r="P154" s="5">
        <v>802.96</v>
      </c>
      <c r="Q154" s="5">
        <v>354.11</v>
      </c>
      <c r="R154" s="5">
        <v>1280.0899999999999</v>
      </c>
      <c r="S154" s="5">
        <v>1313.21</v>
      </c>
      <c r="T154" s="5">
        <v>324.66000000000003</v>
      </c>
      <c r="U154" s="5">
        <v>783.77</v>
      </c>
      <c r="V154" s="5">
        <v>4210.6833999999999</v>
      </c>
      <c r="W154" s="5">
        <v>9026.2458999999999</v>
      </c>
      <c r="X154" s="5">
        <v>13100.1584</v>
      </c>
      <c r="Y154" s="5">
        <v>6187.4903000000004</v>
      </c>
      <c r="Z154" s="5">
        <v>10511.5658</v>
      </c>
      <c r="AA154" s="5">
        <v>3290.12</v>
      </c>
      <c r="AB154" s="5">
        <v>35481.99</v>
      </c>
      <c r="AC154" s="5">
        <v>568.9</v>
      </c>
      <c r="AD154" s="5">
        <v>313.33999999999997</v>
      </c>
    </row>
    <row r="155" spans="5:30" ht="15">
      <c r="E155" s="9">
        <v>38776</v>
      </c>
      <c r="F155" s="5">
        <v>175.74</v>
      </c>
      <c r="G155" s="5">
        <v>382.87740000000002</v>
      </c>
      <c r="H155" s="5">
        <v>527.44259999999997</v>
      </c>
      <c r="I155" s="5">
        <v>1242.24</v>
      </c>
      <c r="J155" s="5">
        <v>314.19470000000001</v>
      </c>
      <c r="K155" s="5">
        <v>1280.6400000000001</v>
      </c>
      <c r="L155" s="5">
        <v>1538.94</v>
      </c>
      <c r="M155" s="5">
        <v>1505.25</v>
      </c>
      <c r="N155" s="5">
        <v>1574.71</v>
      </c>
      <c r="O155" s="5">
        <v>1491.38</v>
      </c>
      <c r="P155" s="5">
        <v>808.32</v>
      </c>
      <c r="Q155" s="5">
        <v>361.98</v>
      </c>
      <c r="R155" s="5">
        <v>1280.6600000000001</v>
      </c>
      <c r="S155" s="5">
        <v>1309.45</v>
      </c>
      <c r="T155" s="5">
        <v>323.74</v>
      </c>
      <c r="U155" s="5">
        <v>782.11</v>
      </c>
      <c r="V155" s="5">
        <v>4225.2943999999998</v>
      </c>
      <c r="W155" s="5">
        <v>9113.3492000000006</v>
      </c>
      <c r="X155" s="5">
        <v>13102.7785</v>
      </c>
      <c r="Y155" s="5">
        <v>6226.0383000000002</v>
      </c>
      <c r="Z155" s="5">
        <v>10461.951300000001</v>
      </c>
      <c r="AA155" s="5">
        <v>3337.77</v>
      </c>
      <c r="AB155" s="5">
        <v>35546.699999999997</v>
      </c>
      <c r="AC155" s="5">
        <v>561.54999999999995</v>
      </c>
      <c r="AD155" s="5">
        <v>293.72399999999999</v>
      </c>
    </row>
    <row r="156" spans="5:30" ht="15">
      <c r="E156" s="9">
        <v>38807</v>
      </c>
      <c r="F156" s="5">
        <v>176.42</v>
      </c>
      <c r="G156" s="5">
        <v>383.35969999999998</v>
      </c>
      <c r="H156" s="5">
        <v>521.81740000000002</v>
      </c>
      <c r="I156" s="5">
        <v>1230.05</v>
      </c>
      <c r="J156" s="5">
        <v>311.44659999999999</v>
      </c>
      <c r="K156" s="5">
        <v>1269.78</v>
      </c>
      <c r="L156" s="5">
        <v>1517.25</v>
      </c>
      <c r="M156" s="5">
        <v>1480.05</v>
      </c>
      <c r="N156" s="5">
        <v>1558.53</v>
      </c>
      <c r="O156" s="5">
        <v>1465.37</v>
      </c>
      <c r="P156" s="5">
        <v>813.16</v>
      </c>
      <c r="Q156" s="5">
        <v>355.11</v>
      </c>
      <c r="R156" s="5">
        <v>1294.83</v>
      </c>
      <c r="S156" s="5">
        <v>1335.07</v>
      </c>
      <c r="T156" s="5">
        <v>329.79</v>
      </c>
      <c r="U156" s="5">
        <v>787.8</v>
      </c>
      <c r="V156" s="5">
        <v>4295.4766</v>
      </c>
      <c r="W156" s="5">
        <v>9338.9956999999995</v>
      </c>
      <c r="X156" s="5">
        <v>13436.3752</v>
      </c>
      <c r="Y156" s="5">
        <v>6309.0937000000004</v>
      </c>
      <c r="Z156" s="5">
        <v>10581.9498</v>
      </c>
      <c r="AA156" s="5">
        <v>3504.61</v>
      </c>
      <c r="AB156" s="5">
        <v>37102.120000000003</v>
      </c>
      <c r="AC156" s="5">
        <v>583.65</v>
      </c>
      <c r="AD156" s="5">
        <v>300.25700000000001</v>
      </c>
    </row>
    <row r="157" spans="5:30" ht="15">
      <c r="E157" s="9">
        <v>38835</v>
      </c>
      <c r="F157" s="5">
        <v>177.07</v>
      </c>
      <c r="G157" s="5">
        <v>384.5419</v>
      </c>
      <c r="H157" s="5">
        <v>519.654</v>
      </c>
      <c r="I157" s="5">
        <v>1227.82</v>
      </c>
      <c r="J157" s="5">
        <v>310.34179999999998</v>
      </c>
      <c r="K157" s="5">
        <v>1269.8499999999999</v>
      </c>
      <c r="L157" s="5">
        <v>1511.94</v>
      </c>
      <c r="M157" s="5">
        <v>1474.15</v>
      </c>
      <c r="N157" s="5">
        <v>1554.84</v>
      </c>
      <c r="O157" s="5">
        <v>1456.43</v>
      </c>
      <c r="P157" s="5">
        <v>818.17</v>
      </c>
      <c r="Q157" s="5">
        <v>354.81</v>
      </c>
      <c r="R157" s="5">
        <v>1310.6099999999999</v>
      </c>
      <c r="S157" s="5">
        <v>1373.38</v>
      </c>
      <c r="T157" s="5">
        <v>340.19</v>
      </c>
      <c r="U157" s="5">
        <v>841.58</v>
      </c>
      <c r="V157" s="5">
        <v>4369.2299000000003</v>
      </c>
      <c r="W157" s="5">
        <v>9491.1278999999995</v>
      </c>
      <c r="X157" s="5">
        <v>13672.8554</v>
      </c>
      <c r="Y157" s="5">
        <v>6379.4400999999998</v>
      </c>
      <c r="Z157" s="5">
        <v>10874.4349</v>
      </c>
      <c r="AA157" s="5">
        <v>3394.99</v>
      </c>
      <c r="AB157" s="5">
        <v>37097.83</v>
      </c>
      <c r="AC157" s="5">
        <v>654.41999999999996</v>
      </c>
      <c r="AD157" s="5">
        <v>320.61399999999998</v>
      </c>
    </row>
    <row r="158" spans="5:30" ht="15">
      <c r="E158" s="9">
        <v>38868</v>
      </c>
      <c r="F158" s="5">
        <v>177.78</v>
      </c>
      <c r="G158" s="5">
        <v>385.13209999999998</v>
      </c>
      <c r="H158" s="5">
        <v>519.92819999999995</v>
      </c>
      <c r="I158" s="5">
        <v>1226.51</v>
      </c>
      <c r="J158" s="5">
        <v>311.33019999999999</v>
      </c>
      <c r="K158" s="5">
        <v>1267.44</v>
      </c>
      <c r="L158" s="5">
        <v>1509.39</v>
      </c>
      <c r="M158" s="5">
        <v>1470.72</v>
      </c>
      <c r="N158" s="5">
        <v>1554.18</v>
      </c>
      <c r="O158" s="5">
        <v>1450.32</v>
      </c>
      <c r="P158" s="5">
        <v>818.06</v>
      </c>
      <c r="Q158" s="5">
        <v>347.54</v>
      </c>
      <c r="R158" s="5">
        <v>1270.0899999999999</v>
      </c>
      <c r="S158" s="5">
        <v>1322.25</v>
      </c>
      <c r="T158" s="5">
        <v>325.74</v>
      </c>
      <c r="U158" s="5">
        <v>751</v>
      </c>
      <c r="V158" s="5">
        <v>4283.3308999999999</v>
      </c>
      <c r="W158" s="5">
        <v>9439.6859999999997</v>
      </c>
      <c r="X158" s="5">
        <v>13355.235000000001</v>
      </c>
      <c r="Y158" s="5">
        <v>6392.4540999999999</v>
      </c>
      <c r="Z158" s="5">
        <v>10726.107599999999</v>
      </c>
      <c r="AA158" s="5">
        <v>3303.2</v>
      </c>
      <c r="AB158" s="5">
        <v>35020.75</v>
      </c>
      <c r="AC158" s="5">
        <v>645.20000000000005</v>
      </c>
      <c r="AD158" s="5">
        <v>323.68099999999998</v>
      </c>
    </row>
    <row r="159" spans="5:30" ht="15">
      <c r="E159" s="9">
        <v>38898</v>
      </c>
      <c r="F159" s="5">
        <v>178.46</v>
      </c>
      <c r="G159" s="5">
        <v>385.76949999999999</v>
      </c>
      <c r="H159" s="5">
        <v>521.51829999999995</v>
      </c>
      <c r="I159" s="5">
        <v>1229.1099999999999</v>
      </c>
      <c r="J159" s="5">
        <v>311.29520000000002</v>
      </c>
      <c r="K159" s="5">
        <v>1269.8900000000001</v>
      </c>
      <c r="L159" s="5">
        <v>1511.29</v>
      </c>
      <c r="M159" s="5">
        <v>1473.41</v>
      </c>
      <c r="N159" s="5">
        <v>1554.79</v>
      </c>
      <c r="O159" s="5">
        <v>1453.66</v>
      </c>
      <c r="P159" s="5">
        <v>815.19</v>
      </c>
      <c r="Q159" s="5">
        <v>347.52</v>
      </c>
      <c r="R159" s="5">
        <v>1270.2</v>
      </c>
      <c r="S159" s="5">
        <v>1319.93</v>
      </c>
      <c r="T159" s="5">
        <v>325.11</v>
      </c>
      <c r="U159" s="5">
        <v>747.54</v>
      </c>
      <c r="V159" s="5">
        <v>4256.5172000000002</v>
      </c>
      <c r="W159" s="5">
        <v>9428.7360000000008</v>
      </c>
      <c r="X159" s="5">
        <v>13283.7845</v>
      </c>
      <c r="Y159" s="5">
        <v>6427.7404999999999</v>
      </c>
      <c r="Z159" s="5">
        <v>10674.193300000001</v>
      </c>
      <c r="AA159" s="5">
        <v>3468.22</v>
      </c>
      <c r="AB159" s="5">
        <v>34721.85</v>
      </c>
      <c r="AC159" s="5">
        <v>615.85</v>
      </c>
      <c r="AD159" s="5">
        <v>318.65199999999999</v>
      </c>
    </row>
    <row r="160" spans="5:30" ht="15">
      <c r="E160" s="9">
        <v>38929</v>
      </c>
      <c r="F160" s="5">
        <v>179.22</v>
      </c>
      <c r="G160" s="5">
        <v>388.6506</v>
      </c>
      <c r="H160" s="5">
        <v>527.97119999999995</v>
      </c>
      <c r="I160" s="5">
        <v>1245.73</v>
      </c>
      <c r="J160" s="5">
        <v>314.96109999999999</v>
      </c>
      <c r="K160" s="5">
        <v>1288.08</v>
      </c>
      <c r="L160" s="5">
        <v>1533.37</v>
      </c>
      <c r="M160" s="5">
        <v>1494.74</v>
      </c>
      <c r="N160" s="5">
        <v>1577.62</v>
      </c>
      <c r="O160" s="5">
        <v>1475.4</v>
      </c>
      <c r="P160" s="5">
        <v>823.17</v>
      </c>
      <c r="Q160" s="5">
        <v>358.89</v>
      </c>
      <c r="R160" s="5">
        <v>1276.6600000000001</v>
      </c>
      <c r="S160" s="5">
        <v>1327.23</v>
      </c>
      <c r="T160" s="5">
        <v>327.04000000000002</v>
      </c>
      <c r="U160" s="5">
        <v>755.84</v>
      </c>
      <c r="V160" s="5">
        <v>4247.1103000000003</v>
      </c>
      <c r="W160" s="5">
        <v>9387.5324000000001</v>
      </c>
      <c r="X160" s="5">
        <v>13211.786400000001</v>
      </c>
      <c r="Y160" s="5">
        <v>6454.6084000000001</v>
      </c>
      <c r="Z160" s="5">
        <v>10646.440399999999</v>
      </c>
      <c r="AA160" s="5">
        <v>3573.46</v>
      </c>
      <c r="AB160" s="5">
        <v>33365.4</v>
      </c>
      <c r="AC160" s="5">
        <v>636.75</v>
      </c>
      <c r="AD160" s="5">
        <v>328.88099999999997</v>
      </c>
    </row>
    <row r="161" spans="5:30" ht="15">
      <c r="E161" s="9">
        <v>38960</v>
      </c>
      <c r="F161" s="5">
        <v>180.01</v>
      </c>
      <c r="G161" s="5">
        <v>391.40530000000001</v>
      </c>
      <c r="H161" s="5">
        <v>535.72860000000003</v>
      </c>
      <c r="I161" s="5">
        <v>1264.8</v>
      </c>
      <c r="J161" s="5">
        <v>319.67349999999999</v>
      </c>
      <c r="K161" s="5">
        <v>1306.8</v>
      </c>
      <c r="L161" s="5">
        <v>1561.94</v>
      </c>
      <c r="M161" s="5">
        <v>1523.74</v>
      </c>
      <c r="N161" s="5">
        <v>1604.82</v>
      </c>
      <c r="O161" s="5">
        <v>1506.46</v>
      </c>
      <c r="P161" s="5">
        <v>836.52</v>
      </c>
      <c r="Q161" s="5">
        <v>368.23</v>
      </c>
      <c r="R161" s="5">
        <v>1303.82</v>
      </c>
      <c r="S161" s="5">
        <v>1358.87</v>
      </c>
      <c r="T161" s="5">
        <v>334.81</v>
      </c>
      <c r="U161" s="5">
        <v>773.12</v>
      </c>
      <c r="V161" s="5">
        <v>4281.6392999999998</v>
      </c>
      <c r="W161" s="5">
        <v>9486.5709000000006</v>
      </c>
      <c r="X161" s="5">
        <v>13347.8678</v>
      </c>
      <c r="Y161" s="5">
        <v>6500.5006999999996</v>
      </c>
      <c r="Z161" s="5">
        <v>10671.140100000001</v>
      </c>
      <c r="AA161" s="5">
        <v>3693.51</v>
      </c>
      <c r="AB161" s="5">
        <v>34081.230000000003</v>
      </c>
      <c r="AC161" s="5">
        <v>627.29999999999995</v>
      </c>
      <c r="AD161" s="5">
        <v>317.029</v>
      </c>
    </row>
    <row r="162" spans="5:30" ht="15">
      <c r="E162" s="9">
        <v>38989</v>
      </c>
      <c r="F162" s="5">
        <v>180.81</v>
      </c>
      <c r="G162" s="5">
        <v>393.40190000000001</v>
      </c>
      <c r="H162" s="5">
        <v>540.67899999999997</v>
      </c>
      <c r="I162" s="5">
        <v>1275.9100000000001</v>
      </c>
      <c r="J162" s="5">
        <v>321.9735</v>
      </c>
      <c r="K162" s="5">
        <v>1315.94</v>
      </c>
      <c r="L162" s="5">
        <v>1579.83</v>
      </c>
      <c r="M162" s="5">
        <v>1542.1</v>
      </c>
      <c r="N162" s="5">
        <v>1621.25</v>
      </c>
      <c r="O162" s="5">
        <v>1527.53</v>
      </c>
      <c r="P162" s="5">
        <v>848.38</v>
      </c>
      <c r="Q162" s="5">
        <v>370.29</v>
      </c>
      <c r="R162" s="5">
        <v>1335.85</v>
      </c>
      <c r="S162" s="5">
        <v>1373.37</v>
      </c>
      <c r="T162" s="5">
        <v>338.28</v>
      </c>
      <c r="U162" s="5">
        <v>778.16</v>
      </c>
      <c r="V162" s="5">
        <v>4284.8504999999996</v>
      </c>
      <c r="W162" s="5">
        <v>9508.6746000000003</v>
      </c>
      <c r="X162" s="5">
        <v>13368.957399999999</v>
      </c>
      <c r="Y162" s="5">
        <v>6524.5524999999998</v>
      </c>
      <c r="Z162" s="5">
        <v>10590.0394</v>
      </c>
      <c r="AA162" s="5">
        <v>3766.99</v>
      </c>
      <c r="AB162" s="5">
        <v>34141.050000000003</v>
      </c>
      <c r="AC162" s="5">
        <v>598.29999999999995</v>
      </c>
      <c r="AD162" s="5">
        <v>297.94</v>
      </c>
    </row>
    <row r="163" spans="5:30" ht="15">
      <c r="E163" s="9">
        <v>39021</v>
      </c>
      <c r="F163" s="5">
        <v>181.5</v>
      </c>
      <c r="G163" s="5">
        <v>394.94639999999998</v>
      </c>
      <c r="H163" s="5">
        <v>543.45690000000002</v>
      </c>
      <c r="I163" s="5">
        <v>1284.3499999999999</v>
      </c>
      <c r="J163" s="5">
        <v>323.69869999999997</v>
      </c>
      <c r="K163" s="5">
        <v>1325.48</v>
      </c>
      <c r="L163" s="5">
        <v>1592.61</v>
      </c>
      <c r="M163" s="5">
        <v>1554.81</v>
      </c>
      <c r="N163" s="5">
        <v>1633.98</v>
      </c>
      <c r="O163" s="5">
        <v>1540.38</v>
      </c>
      <c r="P163" s="5">
        <v>859.92</v>
      </c>
      <c r="Q163" s="5">
        <v>377.16</v>
      </c>
      <c r="R163" s="5">
        <v>1377.94</v>
      </c>
      <c r="S163" s="5">
        <v>1422.93</v>
      </c>
      <c r="T163" s="5">
        <v>350.75</v>
      </c>
      <c r="U163" s="5">
        <v>814.44</v>
      </c>
      <c r="V163" s="5">
        <v>4354.4794000000002</v>
      </c>
      <c r="W163" s="5">
        <v>9730.1316000000006</v>
      </c>
      <c r="X163" s="5">
        <v>13618.0211</v>
      </c>
      <c r="Y163" s="5">
        <v>6604.6088</v>
      </c>
      <c r="Z163" s="5">
        <v>10710.448200000001</v>
      </c>
      <c r="AA163" s="5">
        <v>4000.04</v>
      </c>
      <c r="AB163" s="5">
        <v>35950.980000000003</v>
      </c>
      <c r="AC163" s="5">
        <v>606.6</v>
      </c>
      <c r="AD163" s="5">
        <v>312.07299999999998</v>
      </c>
    </row>
    <row r="164" spans="5:30" ht="15">
      <c r="E164" s="9">
        <v>39051</v>
      </c>
      <c r="F164" s="5">
        <v>182.27</v>
      </c>
      <c r="G164" s="5">
        <v>396.89800000000002</v>
      </c>
      <c r="H164" s="5">
        <v>549.10950000000003</v>
      </c>
      <c r="I164" s="5">
        <v>1299.25</v>
      </c>
      <c r="J164" s="5">
        <v>326.49979999999999</v>
      </c>
      <c r="K164" s="5">
        <v>1340.68</v>
      </c>
      <c r="L164" s="5">
        <v>1615.96</v>
      </c>
      <c r="M164" s="5">
        <v>1578.36</v>
      </c>
      <c r="N164" s="5">
        <v>1656.35</v>
      </c>
      <c r="O164" s="5">
        <v>1566.02</v>
      </c>
      <c r="P164" s="5">
        <v>874.37</v>
      </c>
      <c r="Q164" s="5">
        <v>381.94</v>
      </c>
      <c r="R164" s="5">
        <v>1400.63</v>
      </c>
      <c r="S164" s="5">
        <v>1455.17</v>
      </c>
      <c r="T164" s="5">
        <v>360.04</v>
      </c>
      <c r="U164" s="5">
        <v>874.08</v>
      </c>
      <c r="V164" s="5">
        <v>4432.1197000000002</v>
      </c>
      <c r="W164" s="5">
        <v>9911.9878000000008</v>
      </c>
      <c r="X164" s="5">
        <v>13890.3815</v>
      </c>
      <c r="Y164" s="5">
        <v>6695.2901000000002</v>
      </c>
      <c r="Z164" s="5">
        <v>10962.8935</v>
      </c>
      <c r="AA164" s="5">
        <v>4174.5</v>
      </c>
      <c r="AB164" s="5">
        <v>36848.86</v>
      </c>
      <c r="AC164" s="5">
        <v>648</v>
      </c>
      <c r="AD164" s="5">
        <v>329.14</v>
      </c>
    </row>
    <row r="165" spans="5:30" ht="15">
      <c r="E165" s="9">
        <v>39080</v>
      </c>
      <c r="F165" s="5">
        <v>183.06</v>
      </c>
      <c r="G165" s="5">
        <v>397.03480000000002</v>
      </c>
      <c r="H165" s="5">
        <v>544.6354</v>
      </c>
      <c r="I165" s="5">
        <v>1291.71</v>
      </c>
      <c r="J165" s="5">
        <v>324.94040000000001</v>
      </c>
      <c r="K165" s="5">
        <v>1336.99</v>
      </c>
      <c r="L165" s="5">
        <v>1601.26</v>
      </c>
      <c r="M165" s="5">
        <v>1560.96</v>
      </c>
      <c r="N165" s="5">
        <v>1645.9</v>
      </c>
      <c r="O165" s="5">
        <v>1547.02</v>
      </c>
      <c r="P165" s="5">
        <v>883.97</v>
      </c>
      <c r="Q165" s="5">
        <v>384.48</v>
      </c>
      <c r="R165" s="5">
        <v>1418.3</v>
      </c>
      <c r="S165" s="5">
        <v>1483.58</v>
      </c>
      <c r="T165" s="5">
        <v>367.78</v>
      </c>
      <c r="U165" s="5">
        <v>912.65</v>
      </c>
      <c r="V165" s="5">
        <v>4511.2773999999999</v>
      </c>
      <c r="W165" s="5">
        <v>10075.535599999999</v>
      </c>
      <c r="X165" s="5">
        <v>14077.346</v>
      </c>
      <c r="Y165" s="5">
        <v>6803.1512000000002</v>
      </c>
      <c r="Z165" s="5">
        <v>11102.1222</v>
      </c>
      <c r="AA165" s="5">
        <v>4121.18</v>
      </c>
      <c r="AB165" s="5">
        <v>37424.559999999998</v>
      </c>
      <c r="AC165" s="5">
        <v>636.70000000000005</v>
      </c>
      <c r="AD165" s="5">
        <v>314.02300000000002</v>
      </c>
    </row>
    <row r="166" spans="5:30" ht="15">
      <c r="E166" s="9">
        <v>39113</v>
      </c>
      <c r="F166" s="5">
        <v>183.81</v>
      </c>
      <c r="G166" s="5">
        <v>397.81319999999999</v>
      </c>
      <c r="H166" s="5">
        <v>543.71590000000003</v>
      </c>
      <c r="I166" s="5">
        <v>1291.18</v>
      </c>
      <c r="J166" s="5">
        <v>324.81060000000002</v>
      </c>
      <c r="K166" s="5">
        <v>1337.85</v>
      </c>
      <c r="L166" s="5">
        <v>1601.38</v>
      </c>
      <c r="M166" s="5">
        <v>1561.74</v>
      </c>
      <c r="N166" s="5">
        <v>1645.32</v>
      </c>
      <c r="O166" s="5">
        <v>1546.9</v>
      </c>
      <c r="P166" s="5">
        <v>893.84</v>
      </c>
      <c r="Q166" s="5">
        <v>383.31</v>
      </c>
      <c r="R166" s="5">
        <v>1438.24</v>
      </c>
      <c r="S166" s="5">
        <v>1500.23</v>
      </c>
      <c r="T166" s="5">
        <v>371.2</v>
      </c>
      <c r="U166" s="5">
        <v>901.48</v>
      </c>
      <c r="V166" s="5">
        <v>4569.6634999999997</v>
      </c>
      <c r="W166" s="5">
        <v>10234.159299999999</v>
      </c>
      <c r="X166" s="5">
        <v>14240.284299999999</v>
      </c>
      <c r="Y166" s="5">
        <v>6896.1414999999997</v>
      </c>
      <c r="Z166" s="5">
        <v>11143.4002</v>
      </c>
      <c r="AA166" s="5">
        <v>4445.83</v>
      </c>
      <c r="AB166" s="5">
        <v>38098.410000000003</v>
      </c>
      <c r="AC166" s="5">
        <v>653.20000000000005</v>
      </c>
      <c r="AD166" s="5">
        <v>314.68400000000003</v>
      </c>
    </row>
    <row r="167" spans="5:30" ht="15">
      <c r="E167" s="9">
        <v>39141</v>
      </c>
      <c r="F167" s="5">
        <v>184.52</v>
      </c>
      <c r="G167" s="5">
        <v>401.05619999999999</v>
      </c>
      <c r="H167" s="5">
        <v>552.7491</v>
      </c>
      <c r="I167" s="5">
        <v>1311.09</v>
      </c>
      <c r="J167" s="5">
        <v>328.88799999999998</v>
      </c>
      <c r="K167" s="5">
        <v>1354.35</v>
      </c>
      <c r="L167" s="5">
        <v>1634.36</v>
      </c>
      <c r="M167" s="5">
        <v>1598</v>
      </c>
      <c r="N167" s="5">
        <v>1673.37</v>
      </c>
      <c r="O167" s="5">
        <v>1583.73</v>
      </c>
      <c r="P167" s="5">
        <v>906.34</v>
      </c>
      <c r="Q167" s="5">
        <v>389.89</v>
      </c>
      <c r="R167" s="5">
        <v>1406.82</v>
      </c>
      <c r="S167" s="5">
        <v>1490.44</v>
      </c>
      <c r="T167" s="5">
        <v>368.78</v>
      </c>
      <c r="U167" s="5">
        <v>895.54</v>
      </c>
      <c r="V167" s="5">
        <v>4607.1220000000003</v>
      </c>
      <c r="W167" s="5">
        <v>10338.946099999999</v>
      </c>
      <c r="X167" s="5">
        <v>14329.5723</v>
      </c>
      <c r="Y167" s="5">
        <v>6948.2947000000004</v>
      </c>
      <c r="Z167" s="5">
        <v>11168.290499999999</v>
      </c>
      <c r="AA167" s="5">
        <v>4317.28</v>
      </c>
      <c r="AB167" s="5">
        <v>37946.18</v>
      </c>
      <c r="AC167" s="5">
        <v>669.35</v>
      </c>
      <c r="AD167" s="5">
        <v>325.28100000000001</v>
      </c>
    </row>
    <row r="168" spans="5:30" ht="15">
      <c r="E168" s="9">
        <v>39171</v>
      </c>
      <c r="F168" s="5">
        <v>185.34</v>
      </c>
      <c r="G168" s="5">
        <v>402.44880000000001</v>
      </c>
      <c r="H168" s="5">
        <v>552.34500000000003</v>
      </c>
      <c r="I168" s="5">
        <v>1311.13</v>
      </c>
      <c r="J168" s="5">
        <v>328.76139999999998</v>
      </c>
      <c r="K168" s="5">
        <v>1357.92</v>
      </c>
      <c r="L168" s="5">
        <v>1624.99</v>
      </c>
      <c r="M168" s="5">
        <v>1587.33</v>
      </c>
      <c r="N168" s="5">
        <v>1665.99</v>
      </c>
      <c r="O168" s="5">
        <v>1572.62</v>
      </c>
      <c r="P168" s="5">
        <v>907.3</v>
      </c>
      <c r="Q168" s="5">
        <v>393.69</v>
      </c>
      <c r="R168" s="5">
        <v>1420.86</v>
      </c>
      <c r="S168" s="5">
        <v>1514.18</v>
      </c>
      <c r="T168" s="5">
        <v>375.3</v>
      </c>
      <c r="U168" s="5">
        <v>929.03</v>
      </c>
      <c r="V168" s="5">
        <v>4660.3311000000003</v>
      </c>
      <c r="W168" s="5">
        <v>10479.334500000001</v>
      </c>
      <c r="X168" s="5">
        <v>14474.132799999999</v>
      </c>
      <c r="Y168" s="5">
        <v>7000.6481999999996</v>
      </c>
      <c r="Z168" s="5">
        <v>11158.274100000001</v>
      </c>
      <c r="AA168" s="5">
        <v>4208.7700000000004</v>
      </c>
      <c r="AB168" s="5">
        <v>38021.24</v>
      </c>
      <c r="AC168" s="5">
        <v>663.79</v>
      </c>
      <c r="AD168" s="5">
        <v>328.452</v>
      </c>
    </row>
    <row r="169" spans="5:30" ht="15">
      <c r="E169" s="9">
        <v>39202</v>
      </c>
      <c r="F169" s="5">
        <v>186.15</v>
      </c>
      <c r="G169" s="5">
        <v>403.9409</v>
      </c>
      <c r="H169" s="5">
        <v>555.2722</v>
      </c>
      <c r="I169" s="5">
        <v>1318.2</v>
      </c>
      <c r="J169" s="5">
        <v>329.78179999999998</v>
      </c>
      <c r="K169" s="5">
        <v>1364.62</v>
      </c>
      <c r="L169" s="5">
        <v>1636.91</v>
      </c>
      <c r="M169" s="5">
        <v>1600.28</v>
      </c>
      <c r="N169" s="5">
        <v>1676.12</v>
      </c>
      <c r="O169" s="5">
        <v>1586.48</v>
      </c>
      <c r="P169" s="5">
        <v>919.09</v>
      </c>
      <c r="Q169" s="5">
        <v>397.1</v>
      </c>
      <c r="R169" s="5">
        <v>1482.37</v>
      </c>
      <c r="S169" s="5">
        <v>1577.86</v>
      </c>
      <c r="T169" s="5">
        <v>391.14</v>
      </c>
      <c r="U169" s="5">
        <v>969.93</v>
      </c>
      <c r="V169" s="5">
        <v>4738.4417999999996</v>
      </c>
      <c r="W169" s="5">
        <v>10687.5715</v>
      </c>
      <c r="X169" s="5">
        <v>14743.0506</v>
      </c>
      <c r="Y169" s="5">
        <v>7099.9912000000004</v>
      </c>
      <c r="Z169" s="5">
        <v>11339.855100000001</v>
      </c>
      <c r="AA169" s="5">
        <v>4215.22</v>
      </c>
      <c r="AB169" s="5">
        <v>38750.75</v>
      </c>
      <c r="AC169" s="5">
        <v>678.45</v>
      </c>
      <c r="AD169" s="5">
        <v>332.24599999999998</v>
      </c>
    </row>
    <row r="170" spans="5:30" ht="15">
      <c r="E170" s="9">
        <v>39233</v>
      </c>
      <c r="F170" s="5">
        <v>186.97</v>
      </c>
      <c r="G170" s="5">
        <v>403.61579999999998</v>
      </c>
      <c r="H170" s="5">
        <v>550.38139999999999</v>
      </c>
      <c r="I170" s="5">
        <v>1308.2</v>
      </c>
      <c r="J170" s="5">
        <v>327.55930000000001</v>
      </c>
      <c r="K170" s="5">
        <v>1356.78</v>
      </c>
      <c r="L170" s="5">
        <v>1620.55</v>
      </c>
      <c r="M170" s="5">
        <v>1583.13</v>
      </c>
      <c r="N170" s="5">
        <v>1661.08</v>
      </c>
      <c r="O170" s="5">
        <v>1569.23</v>
      </c>
      <c r="P170" s="5">
        <v>925.96</v>
      </c>
      <c r="Q170" s="5">
        <v>395.57</v>
      </c>
      <c r="R170" s="5">
        <v>1530.62</v>
      </c>
      <c r="S170" s="5">
        <v>1616.87</v>
      </c>
      <c r="T170" s="5">
        <v>401.52</v>
      </c>
      <c r="U170" s="5">
        <v>1014.78</v>
      </c>
      <c r="V170" s="5">
        <v>4840.1540999999997</v>
      </c>
      <c r="W170" s="5">
        <v>10920.018899999999</v>
      </c>
      <c r="X170" s="5">
        <v>15072.9305</v>
      </c>
      <c r="Y170" s="5">
        <v>7205.5923000000003</v>
      </c>
      <c r="Z170" s="5">
        <v>11545.189700000001</v>
      </c>
      <c r="AA170" s="5">
        <v>4220.53</v>
      </c>
      <c r="AB170" s="5">
        <v>39542.720000000001</v>
      </c>
      <c r="AC170" s="5">
        <v>660.5</v>
      </c>
      <c r="AD170" s="5">
        <v>332.67599999999999</v>
      </c>
    </row>
    <row r="171" spans="5:30" ht="15">
      <c r="E171" s="9">
        <v>39262</v>
      </c>
      <c r="F171" s="5">
        <v>187.71</v>
      </c>
      <c r="G171" s="5">
        <v>405.36309999999997</v>
      </c>
      <c r="H171" s="5">
        <v>550.09849999999994</v>
      </c>
      <c r="I171" s="5">
        <v>1304.3399999999999</v>
      </c>
      <c r="J171" s="5">
        <v>326.34230000000002</v>
      </c>
      <c r="K171" s="5">
        <v>1351.08</v>
      </c>
      <c r="L171" s="5">
        <v>1612.62</v>
      </c>
      <c r="M171" s="5">
        <v>1574.88</v>
      </c>
      <c r="N171" s="5">
        <v>1653.68</v>
      </c>
      <c r="O171" s="5">
        <v>1561</v>
      </c>
      <c r="P171" s="5">
        <v>909.33</v>
      </c>
      <c r="Q171" s="5">
        <v>388.1</v>
      </c>
      <c r="R171" s="5">
        <v>1503.35</v>
      </c>
      <c r="S171" s="5">
        <v>1602.36</v>
      </c>
      <c r="T171" s="5">
        <v>399.79</v>
      </c>
      <c r="U171" s="5">
        <v>1059.69</v>
      </c>
      <c r="V171" s="5">
        <v>4865.6067999999996</v>
      </c>
      <c r="W171" s="5">
        <v>10920.406199999999</v>
      </c>
      <c r="X171" s="5">
        <v>15206.788200000001</v>
      </c>
      <c r="Y171" s="5">
        <v>7246.0995000000003</v>
      </c>
      <c r="Z171" s="5">
        <v>11719.118200000001</v>
      </c>
      <c r="AA171" s="5">
        <v>3839.06</v>
      </c>
      <c r="AB171" s="5">
        <v>39268.11</v>
      </c>
      <c r="AC171" s="5">
        <v>649.65</v>
      </c>
      <c r="AD171" s="5">
        <v>328.029</v>
      </c>
    </row>
    <row r="172" spans="5:30" ht="15">
      <c r="E172" s="9">
        <v>39294</v>
      </c>
      <c r="F172" s="5">
        <v>188.44</v>
      </c>
      <c r="G172" s="5">
        <v>408.85160000000002</v>
      </c>
      <c r="H172" s="5">
        <v>559.15210000000002</v>
      </c>
      <c r="I172" s="5">
        <v>1315.22</v>
      </c>
      <c r="J172" s="5">
        <v>329.64440000000002</v>
      </c>
      <c r="K172" s="5">
        <v>1360.23</v>
      </c>
      <c r="L172" s="5">
        <v>1616.35</v>
      </c>
      <c r="M172" s="5">
        <v>1580.21</v>
      </c>
      <c r="N172" s="5">
        <v>1653.68</v>
      </c>
      <c r="O172" s="5">
        <v>1572.01</v>
      </c>
      <c r="P172" s="5">
        <v>877.13</v>
      </c>
      <c r="Q172" s="5">
        <v>384.6</v>
      </c>
      <c r="R172" s="5">
        <v>1455.28</v>
      </c>
      <c r="S172" s="5">
        <v>1565.81</v>
      </c>
      <c r="T172" s="5">
        <v>393.34</v>
      </c>
      <c r="U172" s="5">
        <v>1112.77</v>
      </c>
      <c r="V172" s="5">
        <v>4874.9138999999996</v>
      </c>
      <c r="W172" s="5">
        <v>10824.0555</v>
      </c>
      <c r="X172" s="5">
        <v>15232.2341</v>
      </c>
      <c r="Y172" s="5">
        <v>7204.0439999999999</v>
      </c>
      <c r="Z172" s="5">
        <v>11812.0599</v>
      </c>
      <c r="AA172" s="5">
        <v>3501.7</v>
      </c>
      <c r="AB172" s="5">
        <v>36943.42</v>
      </c>
      <c r="AC172" s="5">
        <v>664.3</v>
      </c>
      <c r="AD172" s="5">
        <v>334.83600000000001</v>
      </c>
    </row>
    <row r="173" spans="5:30" ht="15">
      <c r="E173" s="9">
        <v>39325</v>
      </c>
      <c r="F173" s="5">
        <v>189.51</v>
      </c>
      <c r="G173" s="5">
        <v>413.05799999999999</v>
      </c>
      <c r="H173" s="5">
        <v>567.94029999999998</v>
      </c>
      <c r="I173" s="5">
        <v>1331.34</v>
      </c>
      <c r="J173" s="5">
        <v>333.41860000000003</v>
      </c>
      <c r="K173" s="5">
        <v>1376.24</v>
      </c>
      <c r="L173" s="5">
        <v>1629.43</v>
      </c>
      <c r="M173" s="5">
        <v>1600.3</v>
      </c>
      <c r="N173" s="5">
        <v>1658.63</v>
      </c>
      <c r="O173" s="5">
        <v>1583.9</v>
      </c>
      <c r="P173" s="5">
        <v>889.09</v>
      </c>
      <c r="Q173" s="5">
        <v>389.26</v>
      </c>
      <c r="R173" s="5">
        <v>1473.99</v>
      </c>
      <c r="S173" s="5">
        <v>1561.59</v>
      </c>
      <c r="T173" s="5">
        <v>391.49</v>
      </c>
      <c r="U173" s="5">
        <v>1086.98</v>
      </c>
      <c r="V173" s="5">
        <v>4768.4736000000003</v>
      </c>
      <c r="W173" s="5">
        <v>10640.2219</v>
      </c>
      <c r="X173" s="5">
        <v>14978.2498</v>
      </c>
      <c r="Y173" s="5">
        <v>7154.4701999999997</v>
      </c>
      <c r="Z173" s="5">
        <v>11562.713400000001</v>
      </c>
      <c r="AA173" s="5">
        <v>3692.41</v>
      </c>
      <c r="AB173" s="5">
        <v>36579.550000000003</v>
      </c>
      <c r="AC173" s="5">
        <v>673.39</v>
      </c>
      <c r="AD173" s="5">
        <v>322.678</v>
      </c>
    </row>
    <row r="174" spans="5:30" ht="15">
      <c r="E174" s="9">
        <v>39353</v>
      </c>
      <c r="F174" s="5">
        <v>190.23</v>
      </c>
      <c r="G174" s="5">
        <v>415.97320000000002</v>
      </c>
      <c r="H174" s="5">
        <v>571.00620000000004</v>
      </c>
      <c r="I174" s="5">
        <v>1341.44</v>
      </c>
      <c r="J174" s="5">
        <v>334.89640000000003</v>
      </c>
      <c r="K174" s="5">
        <v>1386.81</v>
      </c>
      <c r="L174" s="5">
        <v>1641.98</v>
      </c>
      <c r="M174" s="5">
        <v>1611.76</v>
      </c>
      <c r="N174" s="5">
        <v>1675.23</v>
      </c>
      <c r="O174" s="5">
        <v>1584.61</v>
      </c>
      <c r="P174" s="5">
        <v>912.36</v>
      </c>
      <c r="Q174" s="5">
        <v>398.1</v>
      </c>
      <c r="R174" s="5">
        <v>1526.75</v>
      </c>
      <c r="S174" s="5">
        <v>1633.58</v>
      </c>
      <c r="T174" s="5">
        <v>411.92</v>
      </c>
      <c r="U174" s="5">
        <v>1204.9000000000001</v>
      </c>
      <c r="V174" s="5">
        <v>4858.0734000000002</v>
      </c>
      <c r="W174" s="5">
        <v>10804.917600000001</v>
      </c>
      <c r="X174" s="5">
        <v>15454.0136</v>
      </c>
      <c r="Y174" s="5">
        <v>7251.0686999999998</v>
      </c>
      <c r="Z174" s="5">
        <v>11936.1005</v>
      </c>
      <c r="AA174" s="5">
        <v>3850.88</v>
      </c>
      <c r="AB174" s="5">
        <v>37386.730000000003</v>
      </c>
      <c r="AC174" s="5">
        <v>743.6</v>
      </c>
      <c r="AD174" s="5">
        <v>348.50700000000001</v>
      </c>
    </row>
    <row r="175" spans="5:30" ht="15">
      <c r="E175" s="9">
        <v>39386</v>
      </c>
      <c r="F175" s="5">
        <v>190.83</v>
      </c>
      <c r="G175" s="5">
        <v>417.67720000000003</v>
      </c>
      <c r="H175" s="5">
        <v>575.67600000000004</v>
      </c>
      <c r="I175" s="5">
        <v>1353.49</v>
      </c>
      <c r="J175" s="5">
        <v>337.71429999999998</v>
      </c>
      <c r="K175" s="5">
        <v>1400.82</v>
      </c>
      <c r="L175" s="5">
        <v>1661.7</v>
      </c>
      <c r="M175" s="5">
        <v>1635.96</v>
      </c>
      <c r="N175" s="5">
        <v>1687.62</v>
      </c>
      <c r="O175" s="5">
        <v>1612.64</v>
      </c>
      <c r="P175" s="5">
        <v>917.83</v>
      </c>
      <c r="Q175" s="5">
        <v>407.59</v>
      </c>
      <c r="R175" s="5">
        <v>1549.38</v>
      </c>
      <c r="S175" s="5">
        <v>1682.35</v>
      </c>
      <c r="T175" s="5">
        <v>427.63</v>
      </c>
      <c r="U175" s="5">
        <v>1337.45</v>
      </c>
      <c r="V175" s="5">
        <v>5007.0033000000003</v>
      </c>
      <c r="W175" s="5">
        <v>11049.000400000001</v>
      </c>
      <c r="X175" s="5">
        <v>15931.9818</v>
      </c>
      <c r="Y175" s="5">
        <v>7403.3595999999998</v>
      </c>
      <c r="Z175" s="5">
        <v>12324.934600000001</v>
      </c>
      <c r="AA175" s="5">
        <v>3882.25</v>
      </c>
      <c r="AB175" s="5">
        <v>37864.17</v>
      </c>
      <c r="AC175" s="5">
        <v>796.6</v>
      </c>
      <c r="AD175" s="5">
        <v>360.125</v>
      </c>
    </row>
    <row r="176" spans="5:30" ht="15">
      <c r="E176" s="9">
        <v>39416</v>
      </c>
      <c r="F176" s="5">
        <v>191.72</v>
      </c>
      <c r="G176" s="5">
        <v>424.74560000000002</v>
      </c>
      <c r="H176" s="5">
        <v>593.18550000000005</v>
      </c>
      <c r="I176" s="5">
        <v>1377.83</v>
      </c>
      <c r="J176" s="5">
        <v>341.50720000000001</v>
      </c>
      <c r="K176" s="5">
        <v>1425.24</v>
      </c>
      <c r="L176" s="5">
        <v>1671.65</v>
      </c>
      <c r="M176" s="5">
        <v>1650.86</v>
      </c>
      <c r="N176" s="5">
        <v>1690.8</v>
      </c>
      <c r="O176" s="5">
        <v>1626.84</v>
      </c>
      <c r="P176" s="5">
        <v>897.92</v>
      </c>
      <c r="Q176" s="5">
        <v>406.08</v>
      </c>
      <c r="R176" s="5">
        <v>1481.14</v>
      </c>
      <c r="S176" s="5">
        <v>1610.94</v>
      </c>
      <c r="T176" s="5">
        <v>408.1</v>
      </c>
      <c r="U176" s="5">
        <v>1242.06</v>
      </c>
      <c r="V176" s="5">
        <v>4933.5219999999999</v>
      </c>
      <c r="W176" s="5">
        <v>10770.1811</v>
      </c>
      <c r="X176" s="5">
        <v>15471.509</v>
      </c>
      <c r="Y176" s="5">
        <v>7363.9742999999999</v>
      </c>
      <c r="Z176" s="5">
        <v>12214.9478</v>
      </c>
      <c r="AA176" s="5">
        <v>3545.57</v>
      </c>
      <c r="AB176" s="5">
        <v>34473.599999999999</v>
      </c>
      <c r="AC176" s="5">
        <v>783.75</v>
      </c>
      <c r="AD176" s="5">
        <v>348.83100000000002</v>
      </c>
    </row>
    <row r="177" spans="5:30" ht="15">
      <c r="E177" s="9">
        <v>39447</v>
      </c>
      <c r="F177" s="5">
        <v>192.23</v>
      </c>
      <c r="G177" s="5">
        <v>425.73590000000002</v>
      </c>
      <c r="H177" s="5">
        <v>593.6626</v>
      </c>
      <c r="I177" s="5">
        <v>1381.7</v>
      </c>
      <c r="J177" s="5">
        <v>342.2525</v>
      </c>
      <c r="K177" s="5">
        <v>1429.28</v>
      </c>
      <c r="L177" s="5">
        <v>1674.29</v>
      </c>
      <c r="M177" s="5">
        <v>1654.84</v>
      </c>
      <c r="N177" s="5">
        <v>1692.36</v>
      </c>
      <c r="O177" s="5">
        <v>1627.54</v>
      </c>
      <c r="P177" s="5">
        <v>900.54</v>
      </c>
      <c r="Q177" s="5">
        <v>408.61</v>
      </c>
      <c r="R177" s="5">
        <v>1468.36</v>
      </c>
      <c r="S177" s="5">
        <v>1588.8</v>
      </c>
      <c r="T177" s="5">
        <v>403.25</v>
      </c>
      <c r="U177" s="5">
        <v>1245.5899999999999</v>
      </c>
      <c r="V177" s="5">
        <v>4949.9897000000001</v>
      </c>
      <c r="W177" s="5">
        <v>10741.299300000001</v>
      </c>
      <c r="X177" s="5">
        <v>15553.219499999999</v>
      </c>
      <c r="Y177" s="5">
        <v>7411.3723</v>
      </c>
      <c r="Z177" s="5">
        <v>12335.221</v>
      </c>
      <c r="AA177" s="5">
        <v>3386.3</v>
      </c>
      <c r="AB177" s="5">
        <v>34234.92</v>
      </c>
      <c r="AC177" s="5">
        <v>833.92</v>
      </c>
      <c r="AD177" s="5">
        <v>364.99</v>
      </c>
    </row>
    <row r="178" spans="5:30" ht="15">
      <c r="E178" s="9">
        <v>39478</v>
      </c>
      <c r="F178" s="5">
        <v>193.21</v>
      </c>
      <c r="G178" s="5">
        <v>433.19670000000002</v>
      </c>
      <c r="H178" s="5">
        <v>608.78790000000004</v>
      </c>
      <c r="I178" s="5">
        <v>1404.91</v>
      </c>
      <c r="J178" s="5">
        <v>347.90260000000001</v>
      </c>
      <c r="K178" s="5">
        <v>1455.66</v>
      </c>
      <c r="L178" s="5">
        <v>1691.33</v>
      </c>
      <c r="M178" s="5">
        <v>1666.91</v>
      </c>
      <c r="N178" s="5">
        <v>1713.52</v>
      </c>
      <c r="O178" s="5">
        <v>1649.78</v>
      </c>
      <c r="P178" s="5">
        <v>888.52</v>
      </c>
      <c r="Q178" s="5">
        <v>412.06</v>
      </c>
      <c r="R178" s="5">
        <v>1378.55</v>
      </c>
      <c r="S178" s="5">
        <v>1466.35</v>
      </c>
      <c r="T178" s="5">
        <v>369.93</v>
      </c>
      <c r="U178" s="5">
        <v>1088.72</v>
      </c>
      <c r="V178" s="5">
        <v>4809.6953999999996</v>
      </c>
      <c r="W178" s="5">
        <v>10469.731100000001</v>
      </c>
      <c r="X178" s="5">
        <v>14857.382900000001</v>
      </c>
      <c r="Y178" s="5">
        <v>7315.6226999999999</v>
      </c>
      <c r="Z178" s="5">
        <v>12468.7682</v>
      </c>
      <c r="AA178" s="5">
        <v>3371.76</v>
      </c>
      <c r="AB178" s="5">
        <v>31663.8</v>
      </c>
      <c r="AC178" s="5">
        <v>925.99</v>
      </c>
      <c r="AD178" s="5">
        <v>380.40600000000001</v>
      </c>
    </row>
    <row r="179" spans="5:30" ht="15">
      <c r="E179" s="9">
        <v>39507</v>
      </c>
      <c r="F179" s="5">
        <v>193.54</v>
      </c>
      <c r="G179" s="5">
        <v>437.4545</v>
      </c>
      <c r="H179" s="5">
        <v>615.60860000000002</v>
      </c>
      <c r="I179" s="5">
        <v>1406.86</v>
      </c>
      <c r="J179" s="5">
        <v>348.91500000000002</v>
      </c>
      <c r="K179" s="5">
        <v>1455.9</v>
      </c>
      <c r="L179" s="5">
        <v>1693.21</v>
      </c>
      <c r="M179" s="5">
        <v>1668.13</v>
      </c>
      <c r="N179" s="5">
        <v>1715.72</v>
      </c>
      <c r="O179" s="5">
        <v>1653.37</v>
      </c>
      <c r="P179" s="5">
        <v>876.4</v>
      </c>
      <c r="Q179" s="5">
        <v>411.37</v>
      </c>
      <c r="R179" s="5">
        <v>1330.63</v>
      </c>
      <c r="S179" s="5">
        <v>1455.56</v>
      </c>
      <c r="T179" s="5">
        <v>370.41</v>
      </c>
      <c r="U179" s="5">
        <v>1167.6600000000001</v>
      </c>
      <c r="V179" s="5">
        <v>4869.3687</v>
      </c>
      <c r="W179" s="5">
        <v>10512.4257</v>
      </c>
      <c r="X179" s="5">
        <v>15051.8652</v>
      </c>
      <c r="Y179" s="5">
        <v>7308.8746000000001</v>
      </c>
      <c r="Z179" s="5">
        <v>12994.856299999999</v>
      </c>
      <c r="AA179" s="5">
        <v>3242.42</v>
      </c>
      <c r="AB179" s="5">
        <v>30736.26</v>
      </c>
      <c r="AC179" s="5">
        <v>974.16</v>
      </c>
      <c r="AD179" s="5">
        <v>427.13499999999999</v>
      </c>
    </row>
    <row r="180" spans="5:30" ht="15">
      <c r="E180" s="9">
        <v>39538</v>
      </c>
      <c r="F180" s="5">
        <v>194.02</v>
      </c>
      <c r="G180" s="5">
        <v>438.69670000000002</v>
      </c>
      <c r="H180" s="5">
        <v>619.95150000000001</v>
      </c>
      <c r="I180" s="5">
        <v>1411.66</v>
      </c>
      <c r="J180" s="5">
        <v>348.70350000000002</v>
      </c>
      <c r="K180" s="5">
        <v>1464.08</v>
      </c>
      <c r="L180" s="5">
        <v>1671.7</v>
      </c>
      <c r="M180" s="5">
        <v>1654.78</v>
      </c>
      <c r="N180" s="5">
        <v>1683.38</v>
      </c>
      <c r="O180" s="5">
        <v>1640.02</v>
      </c>
      <c r="P180" s="5">
        <v>873.38</v>
      </c>
      <c r="Q180" s="5">
        <v>411.2</v>
      </c>
      <c r="R180" s="5">
        <v>1322.7</v>
      </c>
      <c r="S180" s="5">
        <v>1437.4</v>
      </c>
      <c r="T180" s="5">
        <v>363.99</v>
      </c>
      <c r="U180" s="5">
        <v>1104.58</v>
      </c>
      <c r="V180" s="5">
        <v>4743.0767999999998</v>
      </c>
      <c r="W180" s="5">
        <v>10363.844800000001</v>
      </c>
      <c r="X180" s="5">
        <v>14623.984700000001</v>
      </c>
      <c r="Y180" s="5">
        <v>7163.2137000000002</v>
      </c>
      <c r="Z180" s="5">
        <v>12836.166800000001</v>
      </c>
      <c r="AA180" s="5">
        <v>3366.68</v>
      </c>
      <c r="AB180" s="5">
        <v>29947.59</v>
      </c>
      <c r="AC180" s="5">
        <v>916.88</v>
      </c>
      <c r="AD180" s="5">
        <v>400.04599999999999</v>
      </c>
    </row>
    <row r="181" spans="5:30" ht="15">
      <c r="E181" s="9">
        <v>39568</v>
      </c>
      <c r="F181" s="5">
        <v>194.24</v>
      </c>
      <c r="G181" s="5">
        <v>434.90929999999997</v>
      </c>
      <c r="H181" s="5">
        <v>609.27869999999996</v>
      </c>
      <c r="I181" s="5">
        <v>1408.71</v>
      </c>
      <c r="J181" s="5">
        <v>346.80990000000003</v>
      </c>
      <c r="K181" s="5">
        <v>1465.48</v>
      </c>
      <c r="L181" s="5">
        <v>1686.99</v>
      </c>
      <c r="M181" s="5">
        <v>1667.51</v>
      </c>
      <c r="N181" s="5">
        <v>1705.21</v>
      </c>
      <c r="O181" s="5">
        <v>1639.71</v>
      </c>
      <c r="P181" s="5">
        <v>911.02</v>
      </c>
      <c r="Q181" s="5">
        <v>415.36</v>
      </c>
      <c r="R181" s="5">
        <v>1385.59</v>
      </c>
      <c r="S181" s="5">
        <v>1508.99</v>
      </c>
      <c r="T181" s="5">
        <v>383.3</v>
      </c>
      <c r="U181" s="5">
        <v>1191.53</v>
      </c>
      <c r="V181" s="5">
        <v>4789.2618000000002</v>
      </c>
      <c r="W181" s="5">
        <v>10467.489</v>
      </c>
      <c r="X181" s="5">
        <v>14981.5915</v>
      </c>
      <c r="Y181" s="5">
        <v>7262.4670999999998</v>
      </c>
      <c r="Z181" s="5">
        <v>12831.954900000001</v>
      </c>
      <c r="AA181" s="5">
        <v>3574.89</v>
      </c>
      <c r="AB181" s="5">
        <v>30370.06</v>
      </c>
      <c r="AC181" s="5">
        <v>877.55</v>
      </c>
      <c r="AD181" s="5">
        <v>414.30200000000002</v>
      </c>
    </row>
    <row r="182" spans="5:30" ht="15">
      <c r="E182" s="9">
        <v>39598</v>
      </c>
      <c r="F182" s="5">
        <v>194.31</v>
      </c>
      <c r="G182" s="5">
        <v>433.34100000000001</v>
      </c>
      <c r="H182" s="5">
        <v>601.91610000000003</v>
      </c>
      <c r="I182" s="5">
        <v>1398.38</v>
      </c>
      <c r="J182" s="5">
        <v>343.61950000000002</v>
      </c>
      <c r="K182" s="5">
        <v>1457.71</v>
      </c>
      <c r="L182" s="5">
        <v>1670.89</v>
      </c>
      <c r="M182" s="5">
        <v>1651.68</v>
      </c>
      <c r="N182" s="5">
        <v>1688.97</v>
      </c>
      <c r="O182" s="5">
        <v>1623.52</v>
      </c>
      <c r="P182" s="5">
        <v>914.31</v>
      </c>
      <c r="Q182" s="5">
        <v>415.87</v>
      </c>
      <c r="R182" s="5">
        <v>1400.38</v>
      </c>
      <c r="S182" s="5">
        <v>1525.73</v>
      </c>
      <c r="T182" s="5">
        <v>387.75</v>
      </c>
      <c r="U182" s="5">
        <v>1210.04</v>
      </c>
      <c r="V182" s="5">
        <v>4877.6824999999999</v>
      </c>
      <c r="W182" s="5">
        <v>10626.431</v>
      </c>
      <c r="X182" s="5">
        <v>15338.4403</v>
      </c>
      <c r="Y182" s="5">
        <v>7354.8155999999999</v>
      </c>
      <c r="Z182" s="5">
        <v>12986.5229</v>
      </c>
      <c r="AA182" s="5">
        <v>3605.5</v>
      </c>
      <c r="AB182" s="5">
        <v>31525.69</v>
      </c>
      <c r="AC182" s="5">
        <v>886.5</v>
      </c>
      <c r="AD182" s="5">
        <v>425.62900000000002</v>
      </c>
    </row>
    <row r="183" spans="5:30" ht="15">
      <c r="E183" s="9">
        <v>39629</v>
      </c>
      <c r="F183" s="5">
        <v>194.65</v>
      </c>
      <c r="G183" s="5">
        <v>434.68639999999999</v>
      </c>
      <c r="H183" s="5">
        <v>606.8854</v>
      </c>
      <c r="I183" s="5">
        <v>1397.25</v>
      </c>
      <c r="J183" s="5">
        <v>342.52870000000001</v>
      </c>
      <c r="K183" s="5">
        <v>1456.88</v>
      </c>
      <c r="L183" s="5">
        <v>1660.2</v>
      </c>
      <c r="M183" s="5">
        <v>1649.8</v>
      </c>
      <c r="N183" s="5">
        <v>1664.46</v>
      </c>
      <c r="O183" s="5">
        <v>1631.11</v>
      </c>
      <c r="P183" s="5">
        <v>888.75</v>
      </c>
      <c r="Q183" s="5">
        <v>407.86</v>
      </c>
      <c r="R183" s="5">
        <v>1280</v>
      </c>
      <c r="S183" s="5">
        <v>1402.13</v>
      </c>
      <c r="T183" s="5">
        <v>355.4</v>
      </c>
      <c r="U183" s="5">
        <v>1087.1199999999999</v>
      </c>
      <c r="V183" s="5">
        <v>4838.2642999999998</v>
      </c>
      <c r="W183" s="5">
        <v>10456.5177</v>
      </c>
      <c r="X183" s="5">
        <v>14964.233899999999</v>
      </c>
      <c r="Y183" s="5">
        <v>7308.6256000000003</v>
      </c>
      <c r="Z183" s="5">
        <v>13141.3627</v>
      </c>
      <c r="AA183" s="5">
        <v>3198.01</v>
      </c>
      <c r="AB183" s="5">
        <v>29200.6</v>
      </c>
      <c r="AC183" s="5">
        <v>925.4</v>
      </c>
      <c r="AD183" s="5">
        <v>464.35700000000003</v>
      </c>
    </row>
    <row r="184" spans="5:30" ht="15">
      <c r="E184" s="9">
        <v>39660</v>
      </c>
      <c r="F184" s="5">
        <v>195.06</v>
      </c>
      <c r="G184" s="5">
        <v>436.45209999999997</v>
      </c>
      <c r="H184" s="5">
        <v>609.44000000000005</v>
      </c>
      <c r="I184" s="5">
        <v>1396.11</v>
      </c>
      <c r="J184" s="5">
        <v>345.06790000000001</v>
      </c>
      <c r="K184" s="5">
        <v>1454.85</v>
      </c>
      <c r="L184" s="5">
        <v>1647.79</v>
      </c>
      <c r="M184" s="5">
        <v>1645.44</v>
      </c>
      <c r="N184" s="5">
        <v>1641.13</v>
      </c>
      <c r="O184" s="5">
        <v>1627.56</v>
      </c>
      <c r="P184" s="5">
        <v>876.91</v>
      </c>
      <c r="Q184" s="5">
        <v>412.4</v>
      </c>
      <c r="R184" s="5">
        <v>1267.3800000000001</v>
      </c>
      <c r="S184" s="5">
        <v>1366.7</v>
      </c>
      <c r="T184" s="5">
        <v>345.75</v>
      </c>
      <c r="U184" s="5">
        <v>1041.8599999999999</v>
      </c>
      <c r="V184" s="5">
        <v>4711.8746000000001</v>
      </c>
      <c r="W184" s="5">
        <v>10306.819</v>
      </c>
      <c r="X184" s="5">
        <v>14538.5692</v>
      </c>
      <c r="Y184" s="5">
        <v>7249.0531000000001</v>
      </c>
      <c r="Z184" s="5">
        <v>12796.566800000001</v>
      </c>
      <c r="AA184" s="5">
        <v>3288.95</v>
      </c>
      <c r="AB184" s="5">
        <v>29676.51</v>
      </c>
      <c r="AC184" s="5">
        <v>914.07</v>
      </c>
      <c r="AD184" s="5">
        <v>409.31099999999998</v>
      </c>
    </row>
    <row r="185" spans="5:30" ht="15">
      <c r="E185" s="9">
        <v>39689</v>
      </c>
      <c r="F185" s="5">
        <v>195.37</v>
      </c>
      <c r="G185" s="5">
        <v>438.40750000000003</v>
      </c>
      <c r="H185" s="5">
        <v>617.01829999999995</v>
      </c>
      <c r="I185" s="5">
        <v>1409.36</v>
      </c>
      <c r="J185" s="5">
        <v>348.50069999999999</v>
      </c>
      <c r="K185" s="5">
        <v>1473.05</v>
      </c>
      <c r="L185" s="5">
        <v>1659.64</v>
      </c>
      <c r="M185" s="5">
        <v>1660.82</v>
      </c>
      <c r="N185" s="5">
        <v>1646.64</v>
      </c>
      <c r="O185" s="5">
        <v>1648.62</v>
      </c>
      <c r="P185" s="5">
        <v>879.98</v>
      </c>
      <c r="Q185" s="5">
        <v>415.73</v>
      </c>
      <c r="R185" s="5">
        <v>1282.83</v>
      </c>
      <c r="S185" s="5">
        <v>1344.87</v>
      </c>
      <c r="T185" s="5">
        <v>337.61</v>
      </c>
      <c r="U185" s="5">
        <v>956.25</v>
      </c>
      <c r="V185" s="5">
        <v>4646.3900000000003</v>
      </c>
      <c r="W185" s="5">
        <v>10254.813899999999</v>
      </c>
      <c r="X185" s="5">
        <v>14222.4488</v>
      </c>
      <c r="Y185" s="5">
        <v>7238.6135999999997</v>
      </c>
      <c r="Z185" s="5">
        <v>12645.730799999999</v>
      </c>
      <c r="AA185" s="5">
        <v>3350.69</v>
      </c>
      <c r="AB185" s="5">
        <v>30200.19</v>
      </c>
      <c r="AC185" s="5">
        <v>831.15</v>
      </c>
      <c r="AD185" s="5">
        <v>379.49599999999998</v>
      </c>
    </row>
    <row r="186" spans="5:30" ht="15">
      <c r="E186" s="9">
        <v>39721</v>
      </c>
      <c r="F186" s="5">
        <v>195.93</v>
      </c>
      <c r="G186" s="5">
        <v>442.1191</v>
      </c>
      <c r="H186" s="5">
        <v>621.14959999999996</v>
      </c>
      <c r="I186" s="5">
        <v>1390.43</v>
      </c>
      <c r="J186" s="5">
        <v>345.34500000000003</v>
      </c>
      <c r="K186" s="5">
        <v>1484.13</v>
      </c>
      <c r="L186" s="5">
        <v>1530.7</v>
      </c>
      <c r="M186" s="5">
        <v>1596.81</v>
      </c>
      <c r="N186" s="5">
        <v>1434.9</v>
      </c>
      <c r="O186" s="5">
        <v>1569.22</v>
      </c>
      <c r="P186" s="5">
        <v>809.78</v>
      </c>
      <c r="Q186" s="5">
        <v>387.28</v>
      </c>
      <c r="R186" s="5">
        <v>1166.3599999999999</v>
      </c>
      <c r="S186" s="5">
        <v>1182.44</v>
      </c>
      <c r="T186" s="5">
        <v>294.79000000000002</v>
      </c>
      <c r="U186" s="5">
        <v>786.92</v>
      </c>
      <c r="V186" s="5">
        <v>4343.0015000000003</v>
      </c>
      <c r="W186" s="5">
        <v>9638.8737999999994</v>
      </c>
      <c r="X186" s="5">
        <v>13064.6875</v>
      </c>
      <c r="Y186" s="5">
        <v>6811.6742000000004</v>
      </c>
      <c r="Z186" s="5">
        <v>12492.1569</v>
      </c>
      <c r="AA186" s="5">
        <v>3333.52</v>
      </c>
      <c r="AB186" s="5">
        <v>27099.18</v>
      </c>
      <c r="AC186" s="5">
        <v>870.95</v>
      </c>
      <c r="AD186" s="5">
        <v>335.74799999999999</v>
      </c>
    </row>
    <row r="187" spans="5:30" ht="15">
      <c r="E187" s="9">
        <v>39752</v>
      </c>
      <c r="F187" s="5">
        <v>196.42</v>
      </c>
      <c r="G187" s="5">
        <v>446.01159999999999</v>
      </c>
      <c r="H187" s="5">
        <v>620.23620000000005</v>
      </c>
      <c r="I187" s="5">
        <v>1357.61</v>
      </c>
      <c r="J187" s="5">
        <v>343.07830000000001</v>
      </c>
      <c r="K187" s="5">
        <v>1465.48</v>
      </c>
      <c r="L187" s="5">
        <v>1432.06</v>
      </c>
      <c r="M187" s="5">
        <v>1452.56</v>
      </c>
      <c r="N187" s="5">
        <v>1403.92</v>
      </c>
      <c r="O187" s="5">
        <v>1407.38</v>
      </c>
      <c r="P187" s="5">
        <v>680.97</v>
      </c>
      <c r="Q187" s="5">
        <v>329.61</v>
      </c>
      <c r="R187" s="5">
        <v>968.75</v>
      </c>
      <c r="S187" s="5">
        <v>957.25</v>
      </c>
      <c r="T187" s="5">
        <v>236.11</v>
      </c>
      <c r="U187" s="5">
        <v>570.52</v>
      </c>
      <c r="V187" s="5">
        <v>4094.598</v>
      </c>
      <c r="W187" s="5">
        <v>8849.3583999999992</v>
      </c>
      <c r="X187" s="5">
        <v>11828.9835</v>
      </c>
      <c r="Y187" s="5">
        <v>6264.6167999999998</v>
      </c>
      <c r="Z187" s="5">
        <v>12695.992899999999</v>
      </c>
      <c r="AA187" s="5">
        <v>2315.4699999999998</v>
      </c>
      <c r="AB187" s="5">
        <v>21431.33</v>
      </c>
      <c r="AC187" s="5">
        <v>724.55</v>
      </c>
      <c r="AD187" s="5">
        <v>264.29000000000002</v>
      </c>
    </row>
    <row r="188" spans="5:30" ht="15">
      <c r="E188" s="9">
        <v>39780</v>
      </c>
      <c r="F188" s="5">
        <v>196.72</v>
      </c>
      <c r="G188" s="5">
        <v>451.34500000000003</v>
      </c>
      <c r="H188" s="5">
        <v>653.77099999999996</v>
      </c>
      <c r="I188" s="5">
        <v>1401.8</v>
      </c>
      <c r="J188" s="5">
        <v>352.3845</v>
      </c>
      <c r="K188" s="5">
        <v>1523.05</v>
      </c>
      <c r="L188" s="5">
        <v>1490.33</v>
      </c>
      <c r="M188" s="5">
        <v>1511.38</v>
      </c>
      <c r="N188" s="5">
        <v>1457.02</v>
      </c>
      <c r="O188" s="5">
        <v>1481.3</v>
      </c>
      <c r="P188" s="5">
        <v>617.54999999999995</v>
      </c>
      <c r="Q188" s="5">
        <v>337.78</v>
      </c>
      <c r="R188" s="5">
        <v>896.24</v>
      </c>
      <c r="S188" s="5">
        <v>892.93</v>
      </c>
      <c r="T188" s="5">
        <v>220.05</v>
      </c>
      <c r="U188" s="5">
        <v>526.97</v>
      </c>
      <c r="V188" s="5">
        <v>3986.4061000000002</v>
      </c>
      <c r="W188" s="5">
        <v>8525.7687999999998</v>
      </c>
      <c r="X188" s="5">
        <v>11382.833699999999</v>
      </c>
      <c r="Y188" s="5">
        <v>6089.0546000000004</v>
      </c>
      <c r="Z188" s="5">
        <v>12789.034900000001</v>
      </c>
      <c r="AA188" s="5">
        <v>1814.81</v>
      </c>
      <c r="AB188" s="5">
        <v>18482.439999999999</v>
      </c>
      <c r="AC188" s="5">
        <v>818.05</v>
      </c>
      <c r="AD188" s="5">
        <v>245.9</v>
      </c>
    </row>
    <row r="189" spans="5:30" ht="15">
      <c r="E189" s="9">
        <v>39813</v>
      </c>
      <c r="F189" s="5">
        <v>196.92</v>
      </c>
      <c r="G189" s="5">
        <v>453.7885</v>
      </c>
      <c r="H189" s="5">
        <v>676.12249999999995</v>
      </c>
      <c r="I189" s="5">
        <v>1454.1</v>
      </c>
      <c r="J189" s="5">
        <v>361.34539999999998</v>
      </c>
      <c r="K189" s="5">
        <v>1548.48</v>
      </c>
      <c r="L189" s="5">
        <v>1591.62</v>
      </c>
      <c r="M189" s="5">
        <v>1622</v>
      </c>
      <c r="N189" s="5">
        <v>1550.7</v>
      </c>
      <c r="O189" s="5">
        <v>1567.7</v>
      </c>
      <c r="P189" s="5">
        <v>665</v>
      </c>
      <c r="Q189" s="5">
        <v>364.02</v>
      </c>
      <c r="R189" s="5">
        <v>903.25</v>
      </c>
      <c r="S189" s="5">
        <v>920.23</v>
      </c>
      <c r="T189" s="5">
        <v>227.68</v>
      </c>
      <c r="U189" s="5">
        <v>567.04</v>
      </c>
      <c r="V189" s="5">
        <v>3917.8764999999999</v>
      </c>
      <c r="W189" s="5">
        <v>8397.9809000000005</v>
      </c>
      <c r="X189" s="5">
        <v>11407.808199999999</v>
      </c>
      <c r="Y189" s="5">
        <v>6074.6893</v>
      </c>
      <c r="Z189" s="5">
        <v>12931.3459</v>
      </c>
      <c r="AA189" s="5">
        <v>2104.9299999999998</v>
      </c>
      <c r="AB189" s="5">
        <v>18836.88</v>
      </c>
      <c r="AC189" s="5">
        <v>882.05</v>
      </c>
      <c r="AD189" s="5">
        <v>234.874</v>
      </c>
    </row>
    <row r="190" spans="5:30" ht="15">
      <c r="E190" s="9">
        <v>39843</v>
      </c>
      <c r="F190" s="5">
        <v>196.88</v>
      </c>
      <c r="G190" s="5">
        <v>452.20370000000003</v>
      </c>
      <c r="H190" s="5">
        <v>655.48789999999997</v>
      </c>
      <c r="I190" s="5">
        <v>1441.27</v>
      </c>
      <c r="J190" s="5">
        <v>358.23950000000002</v>
      </c>
      <c r="K190" s="5">
        <v>1551.41</v>
      </c>
      <c r="L190" s="5">
        <v>1598.84</v>
      </c>
      <c r="M190" s="5">
        <v>1645.22</v>
      </c>
      <c r="N190" s="5">
        <v>1529.31</v>
      </c>
      <c r="O190" s="5">
        <v>1608.05</v>
      </c>
      <c r="P190" s="5">
        <v>704.86</v>
      </c>
      <c r="Q190" s="5">
        <v>367.12</v>
      </c>
      <c r="R190" s="5">
        <v>825.88</v>
      </c>
      <c r="S190" s="5">
        <v>838.83</v>
      </c>
      <c r="T190" s="5">
        <v>208.02</v>
      </c>
      <c r="U190" s="5">
        <v>529.53</v>
      </c>
      <c r="V190" s="5">
        <v>3961.5066000000002</v>
      </c>
      <c r="W190" s="5">
        <v>8429.0174999999999</v>
      </c>
      <c r="X190" s="5">
        <v>11307.2865</v>
      </c>
      <c r="Y190" s="5">
        <v>6199.5060999999996</v>
      </c>
      <c r="Z190" s="5">
        <v>12918.482099999999</v>
      </c>
      <c r="AA190" s="5">
        <v>1759.48</v>
      </c>
      <c r="AB190" s="5">
        <v>17497.28</v>
      </c>
      <c r="AC190" s="5">
        <v>927.85</v>
      </c>
      <c r="AD190" s="5">
        <v>222.249</v>
      </c>
    </row>
    <row r="191" spans="5:30" ht="15">
      <c r="E191" s="9">
        <v>39871</v>
      </c>
      <c r="F191" s="5">
        <v>196.88</v>
      </c>
      <c r="G191" s="5">
        <v>451.61380000000003</v>
      </c>
      <c r="H191" s="5">
        <v>651.95669999999996</v>
      </c>
      <c r="I191" s="5">
        <v>1435.83</v>
      </c>
      <c r="J191" s="5">
        <v>358.19479999999999</v>
      </c>
      <c r="K191" s="5">
        <v>1560.35</v>
      </c>
      <c r="L191" s="5">
        <v>1567.38</v>
      </c>
      <c r="M191" s="5">
        <v>1629.11</v>
      </c>
      <c r="N191" s="5">
        <v>1465.38</v>
      </c>
      <c r="O191" s="5">
        <v>1623.09</v>
      </c>
      <c r="P191" s="5">
        <v>682.99</v>
      </c>
      <c r="Q191" s="5">
        <v>362.74</v>
      </c>
      <c r="R191" s="5">
        <v>735.09</v>
      </c>
      <c r="S191" s="5">
        <v>750.86</v>
      </c>
      <c r="T191" s="5">
        <v>187.17</v>
      </c>
      <c r="U191" s="5">
        <v>499.3</v>
      </c>
      <c r="V191" s="5">
        <v>3953.1615000000002</v>
      </c>
      <c r="W191" s="5">
        <v>8310.0013999999992</v>
      </c>
      <c r="X191" s="5">
        <v>11058.0779</v>
      </c>
      <c r="Y191" s="5">
        <v>6231.6410999999998</v>
      </c>
      <c r="Z191" s="5">
        <v>12902.6587</v>
      </c>
      <c r="AA191" s="5">
        <v>1414.86</v>
      </c>
      <c r="AB191" s="5">
        <v>15330.1</v>
      </c>
      <c r="AC191" s="5">
        <v>942.35</v>
      </c>
      <c r="AD191" s="5">
        <v>212.39599999999999</v>
      </c>
    </row>
    <row r="192" spans="5:30" ht="15">
      <c r="E192" s="9">
        <v>39903</v>
      </c>
      <c r="F192" s="5">
        <v>197</v>
      </c>
      <c r="G192" s="5">
        <v>454.11849999999998</v>
      </c>
      <c r="H192" s="5">
        <v>666.43370000000004</v>
      </c>
      <c r="I192" s="5">
        <v>1455.79</v>
      </c>
      <c r="J192" s="5">
        <v>361.32709999999997</v>
      </c>
      <c r="K192" s="5">
        <v>1582.47</v>
      </c>
      <c r="L192" s="5">
        <v>1560.91</v>
      </c>
      <c r="M192" s="5">
        <v>1643.06</v>
      </c>
      <c r="N192" s="5">
        <v>1429.49</v>
      </c>
      <c r="O192" s="5">
        <v>1625.39</v>
      </c>
      <c r="P192" s="5">
        <v>704.77</v>
      </c>
      <c r="Q192" s="5">
        <v>376.3</v>
      </c>
      <c r="R192" s="5">
        <v>797.87</v>
      </c>
      <c r="S192" s="5">
        <v>805.22</v>
      </c>
      <c r="T192" s="5">
        <v>202.04</v>
      </c>
      <c r="U192" s="5">
        <v>569.97</v>
      </c>
      <c r="V192" s="5">
        <v>3954.5387999999998</v>
      </c>
      <c r="W192" s="5">
        <v>8416.0972999999994</v>
      </c>
      <c r="X192" s="5">
        <v>11378.7588</v>
      </c>
      <c r="Y192" s="5">
        <v>6293.6898000000001</v>
      </c>
      <c r="Z192" s="5">
        <v>12823.365</v>
      </c>
      <c r="AA192" s="5">
        <v>1476.26</v>
      </c>
      <c r="AB192" s="5">
        <v>16942.05</v>
      </c>
      <c r="AC192" s="5">
        <v>919.14</v>
      </c>
      <c r="AD192" s="5">
        <v>220.04900000000001</v>
      </c>
    </row>
    <row r="193" spans="5:30" ht="15">
      <c r="E193" s="9">
        <v>39933</v>
      </c>
      <c r="F193" s="5">
        <v>197.12</v>
      </c>
      <c r="G193" s="5">
        <v>453.36070000000001</v>
      </c>
      <c r="H193" s="5">
        <v>653.96680000000003</v>
      </c>
      <c r="I193" s="5">
        <v>1462.75</v>
      </c>
      <c r="J193" s="5">
        <v>362.84070000000003</v>
      </c>
      <c r="K193" s="5">
        <v>1586.97</v>
      </c>
      <c r="L193" s="5">
        <v>1615.1</v>
      </c>
      <c r="M193" s="5">
        <v>1695.84</v>
      </c>
      <c r="N193" s="5">
        <v>1492.86</v>
      </c>
      <c r="O193" s="5">
        <v>1656.22</v>
      </c>
      <c r="P193" s="5">
        <v>790.08</v>
      </c>
      <c r="Q193" s="5">
        <v>396.57</v>
      </c>
      <c r="R193" s="5">
        <v>872.81</v>
      </c>
      <c r="S193" s="5">
        <v>893.02</v>
      </c>
      <c r="T193" s="5">
        <v>225.24</v>
      </c>
      <c r="U193" s="5">
        <v>662.73</v>
      </c>
      <c r="V193" s="5">
        <v>3986.1051000000002</v>
      </c>
      <c r="W193" s="5">
        <v>8684.5889999999999</v>
      </c>
      <c r="X193" s="5">
        <v>11998.2508</v>
      </c>
      <c r="Y193" s="5">
        <v>6488.7761</v>
      </c>
      <c r="Z193" s="5">
        <v>12811.928599999999</v>
      </c>
      <c r="AA193" s="5">
        <v>1890.61</v>
      </c>
      <c r="AB193" s="5">
        <v>19934.89</v>
      </c>
      <c r="AC193" s="5">
        <v>888.2</v>
      </c>
      <c r="AD193" s="5">
        <v>221.66200000000001</v>
      </c>
    </row>
    <row r="194" spans="5:30" ht="15">
      <c r="E194" s="9">
        <v>39962</v>
      </c>
      <c r="F194" s="5">
        <v>197.16</v>
      </c>
      <c r="G194" s="5">
        <v>454.154</v>
      </c>
      <c r="H194" s="5">
        <v>647.54999999999995</v>
      </c>
      <c r="I194" s="5">
        <v>1473.36</v>
      </c>
      <c r="J194" s="5">
        <v>363.42590000000001</v>
      </c>
      <c r="K194" s="5">
        <v>1591.61</v>
      </c>
      <c r="L194" s="5">
        <v>1678.15</v>
      </c>
      <c r="M194" s="5">
        <v>1730.87</v>
      </c>
      <c r="N194" s="5">
        <v>1599.63</v>
      </c>
      <c r="O194" s="5">
        <v>1704.81</v>
      </c>
      <c r="P194" s="5">
        <v>843.24</v>
      </c>
      <c r="Q194" s="5">
        <v>411.58</v>
      </c>
      <c r="R194" s="5">
        <v>919.14</v>
      </c>
      <c r="S194" s="5">
        <v>970</v>
      </c>
      <c r="T194" s="5">
        <v>246.69</v>
      </c>
      <c r="U194" s="5">
        <v>773.12</v>
      </c>
      <c r="V194" s="5">
        <v>4100.2438000000002</v>
      </c>
      <c r="W194" s="5">
        <v>9096.4961999999996</v>
      </c>
      <c r="X194" s="5">
        <v>12763.072399999999</v>
      </c>
      <c r="Y194" s="5">
        <v>6743.9736999999996</v>
      </c>
      <c r="Z194" s="5">
        <v>13264.861699999999</v>
      </c>
      <c r="AA194" s="5">
        <v>1929.39</v>
      </c>
      <c r="AB194" s="5">
        <v>22084.81</v>
      </c>
      <c r="AC194" s="5">
        <v>979.15</v>
      </c>
      <c r="AD194" s="5">
        <v>250.488</v>
      </c>
    </row>
    <row r="195" spans="5:30" ht="15">
      <c r="E195" s="9">
        <v>39994</v>
      </c>
      <c r="F195" s="5">
        <v>197.19</v>
      </c>
      <c r="G195" s="5">
        <v>453.53930000000003</v>
      </c>
      <c r="H195" s="5">
        <v>646.23140000000001</v>
      </c>
      <c r="I195" s="5">
        <v>1481.74</v>
      </c>
      <c r="J195" s="5">
        <v>366.75830000000002</v>
      </c>
      <c r="K195" s="5">
        <v>1593.6</v>
      </c>
      <c r="L195" s="5">
        <v>1723.99</v>
      </c>
      <c r="M195" s="5">
        <v>1776.62</v>
      </c>
      <c r="N195" s="5">
        <v>1639.14</v>
      </c>
      <c r="O195" s="5">
        <v>1771.81</v>
      </c>
      <c r="P195" s="5">
        <v>867.39</v>
      </c>
      <c r="Q195" s="5">
        <v>417.01</v>
      </c>
      <c r="R195" s="5">
        <v>919.32</v>
      </c>
      <c r="S195" s="5">
        <v>964.05</v>
      </c>
      <c r="T195" s="5">
        <v>244.9</v>
      </c>
      <c r="U195" s="5">
        <v>761.3</v>
      </c>
      <c r="V195" s="5">
        <v>4119.0946999999996</v>
      </c>
      <c r="W195" s="5">
        <v>9235.4707999999991</v>
      </c>
      <c r="X195" s="5">
        <v>12786.320100000001</v>
      </c>
      <c r="Y195" s="5">
        <v>6848.2380999999996</v>
      </c>
      <c r="Z195" s="5">
        <v>13109.794</v>
      </c>
      <c r="AA195" s="5">
        <v>1879</v>
      </c>
      <c r="AB195" s="5">
        <v>23248.639999999999</v>
      </c>
      <c r="AC195" s="5">
        <v>926.6</v>
      </c>
      <c r="AD195" s="5">
        <v>245.72200000000001</v>
      </c>
    </row>
    <row r="196" spans="5:30" ht="15">
      <c r="E196" s="9">
        <v>40025</v>
      </c>
      <c r="F196" s="5">
        <v>197.27</v>
      </c>
      <c r="G196" s="5">
        <v>454.1114</v>
      </c>
      <c r="H196" s="5">
        <v>648.70129999999995</v>
      </c>
      <c r="I196" s="5">
        <v>1505.64</v>
      </c>
      <c r="J196" s="5">
        <v>371.64170000000001</v>
      </c>
      <c r="K196" s="5">
        <v>1606.64</v>
      </c>
      <c r="L196" s="5">
        <v>1798.42</v>
      </c>
      <c r="M196" s="5">
        <v>1855.29</v>
      </c>
      <c r="N196" s="5">
        <v>1706.95</v>
      </c>
      <c r="O196" s="5">
        <v>1848.92</v>
      </c>
      <c r="P196" s="5">
        <v>920.18</v>
      </c>
      <c r="Q196" s="5">
        <v>429.88</v>
      </c>
      <c r="R196" s="5">
        <v>987.48</v>
      </c>
      <c r="S196" s="5">
        <v>1044.75</v>
      </c>
      <c r="T196" s="5">
        <v>266.14</v>
      </c>
      <c r="U196" s="5">
        <v>844.02</v>
      </c>
      <c r="V196" s="5">
        <v>4179.7861000000003</v>
      </c>
      <c r="W196" s="5">
        <v>9493.7039999999997</v>
      </c>
      <c r="X196" s="5">
        <v>13195.8732</v>
      </c>
      <c r="Y196" s="5">
        <v>7051.5793999999996</v>
      </c>
      <c r="Z196" s="5">
        <v>13174.286400000001</v>
      </c>
      <c r="AA196" s="5">
        <v>2072.83</v>
      </c>
      <c r="AB196" s="5">
        <v>25358.06</v>
      </c>
      <c r="AC196" s="5">
        <v>954</v>
      </c>
      <c r="AD196" s="5">
        <v>253.66300000000001</v>
      </c>
    </row>
    <row r="197" spans="5:30" ht="15">
      <c r="E197" s="9">
        <v>40056</v>
      </c>
      <c r="F197" s="5">
        <v>197.34</v>
      </c>
      <c r="G197" s="5">
        <v>456.01100000000002</v>
      </c>
      <c r="H197" s="5">
        <v>654.72379999999998</v>
      </c>
      <c r="I197" s="5">
        <v>1521.23</v>
      </c>
      <c r="J197" s="5">
        <v>375.45440000000002</v>
      </c>
      <c r="K197" s="5">
        <v>1617.37</v>
      </c>
      <c r="L197" s="5">
        <v>1831.4</v>
      </c>
      <c r="M197" s="5">
        <v>1880.26</v>
      </c>
      <c r="N197" s="5">
        <v>1750.44</v>
      </c>
      <c r="O197" s="5">
        <v>1884.5</v>
      </c>
      <c r="P197" s="5">
        <v>937.34</v>
      </c>
      <c r="Q197" s="5">
        <v>438.05</v>
      </c>
      <c r="R197" s="5">
        <v>1020.63</v>
      </c>
      <c r="S197" s="5">
        <v>1085.5999999999999</v>
      </c>
      <c r="T197" s="5">
        <v>275.10000000000002</v>
      </c>
      <c r="U197" s="5">
        <v>839.46</v>
      </c>
      <c r="V197" s="5">
        <v>4227.6778000000004</v>
      </c>
      <c r="W197" s="5">
        <v>9712.0859</v>
      </c>
      <c r="X197" s="5">
        <v>13376.295899999999</v>
      </c>
      <c r="Y197" s="5">
        <v>7175.1391999999996</v>
      </c>
      <c r="Z197" s="5">
        <v>13223.647800000001</v>
      </c>
      <c r="AA197" s="5">
        <v>2332.2199999999998</v>
      </c>
      <c r="AB197" s="5">
        <v>26396.5</v>
      </c>
      <c r="AC197" s="5">
        <v>951.25</v>
      </c>
      <c r="AD197" s="5">
        <v>252.185</v>
      </c>
    </row>
    <row r="198" spans="5:30" ht="15">
      <c r="E198" s="9">
        <v>40086</v>
      </c>
      <c r="F198" s="5">
        <v>197.41</v>
      </c>
      <c r="G198" s="5">
        <v>457.00670000000002</v>
      </c>
      <c r="H198" s="5">
        <v>659.6</v>
      </c>
      <c r="I198" s="5">
        <v>1537.21</v>
      </c>
      <c r="J198" s="5">
        <v>378.62639999999999</v>
      </c>
      <c r="K198" s="5">
        <v>1630.37</v>
      </c>
      <c r="L198" s="5">
        <v>1863.91</v>
      </c>
      <c r="M198" s="5">
        <v>1906.44</v>
      </c>
      <c r="N198" s="5">
        <v>1793.86</v>
      </c>
      <c r="O198" s="5">
        <v>1910.94</v>
      </c>
      <c r="P198" s="5">
        <v>990.72</v>
      </c>
      <c r="Q198" s="5">
        <v>459.59</v>
      </c>
      <c r="R198" s="5">
        <v>1057.08</v>
      </c>
      <c r="S198" s="5">
        <v>1126.98</v>
      </c>
      <c r="T198" s="5">
        <v>287.23</v>
      </c>
      <c r="U198" s="5">
        <v>914.05</v>
      </c>
      <c r="V198" s="5">
        <v>4299.2579999999998</v>
      </c>
      <c r="W198" s="5">
        <v>10077.4354</v>
      </c>
      <c r="X198" s="5">
        <v>13806.599399999999</v>
      </c>
      <c r="Y198" s="5">
        <v>7351.0064000000002</v>
      </c>
      <c r="Z198" s="5">
        <v>13449.626700000001</v>
      </c>
      <c r="AA198" s="5">
        <v>2480.34</v>
      </c>
      <c r="AB198" s="5">
        <v>28220.49</v>
      </c>
      <c r="AC198" s="5">
        <v>1007.7</v>
      </c>
      <c r="AD198" s="5">
        <v>256.15300000000002</v>
      </c>
    </row>
    <row r="199" spans="5:30" ht="15">
      <c r="E199" s="9">
        <v>40116</v>
      </c>
      <c r="F199" s="5">
        <v>197.46</v>
      </c>
      <c r="G199" s="5">
        <v>457.8981</v>
      </c>
      <c r="H199" s="5">
        <v>659.18399999999997</v>
      </c>
      <c r="I199" s="5">
        <v>1544.8</v>
      </c>
      <c r="J199" s="5">
        <v>379.4246</v>
      </c>
      <c r="K199" s="5">
        <v>1642.02</v>
      </c>
      <c r="L199" s="5">
        <v>1877.01</v>
      </c>
      <c r="M199" s="5">
        <v>1910.65</v>
      </c>
      <c r="N199" s="5">
        <v>1822.59</v>
      </c>
      <c r="O199" s="5">
        <v>1914.08</v>
      </c>
      <c r="P199" s="5">
        <v>1008.5</v>
      </c>
      <c r="Q199" s="5">
        <v>460.27</v>
      </c>
      <c r="R199" s="5">
        <v>1036.19</v>
      </c>
      <c r="S199" s="5">
        <v>1106.17</v>
      </c>
      <c r="T199" s="5">
        <v>282.58999999999997</v>
      </c>
      <c r="U199" s="5">
        <v>914.26</v>
      </c>
      <c r="V199" s="5">
        <v>4297.5515999999998</v>
      </c>
      <c r="W199" s="5">
        <v>10131.514999999999</v>
      </c>
      <c r="X199" s="5">
        <v>13707.6024</v>
      </c>
      <c r="Y199" s="5">
        <v>7443.3141999999998</v>
      </c>
      <c r="Z199" s="5">
        <v>13380.286099999999</v>
      </c>
      <c r="AA199" s="5">
        <v>2362.14</v>
      </c>
      <c r="AB199" s="5">
        <v>25873.21</v>
      </c>
      <c r="AC199" s="5">
        <v>1045.4000000000001</v>
      </c>
      <c r="AD199" s="5">
        <v>264.5539</v>
      </c>
    </row>
    <row r="200" spans="5:30" ht="15">
      <c r="E200" s="9">
        <v>40147</v>
      </c>
      <c r="F200" s="5">
        <v>197.5</v>
      </c>
      <c r="G200" s="5">
        <v>460.65969999999999</v>
      </c>
      <c r="H200" s="5">
        <v>668.34040000000005</v>
      </c>
      <c r="I200" s="5">
        <v>1564.8</v>
      </c>
      <c r="J200" s="5">
        <v>383.24689999999998</v>
      </c>
      <c r="K200" s="5">
        <v>1663.08</v>
      </c>
      <c r="L200" s="5">
        <v>1903.86</v>
      </c>
      <c r="M200" s="5">
        <v>1943.15</v>
      </c>
      <c r="N200" s="5">
        <v>1839.67</v>
      </c>
      <c r="O200" s="5">
        <v>1946.73</v>
      </c>
      <c r="P200" s="5">
        <v>1018.66</v>
      </c>
      <c r="Q200" s="5">
        <v>465.09</v>
      </c>
      <c r="R200" s="5">
        <v>1095.6300000000001</v>
      </c>
      <c r="S200" s="5">
        <v>1149.01</v>
      </c>
      <c r="T200" s="5">
        <v>293.67</v>
      </c>
      <c r="U200" s="5">
        <v>953.13</v>
      </c>
      <c r="V200" s="5">
        <v>4331.8503000000001</v>
      </c>
      <c r="W200" s="5">
        <v>10259.0841</v>
      </c>
      <c r="X200" s="5">
        <v>13922.3081</v>
      </c>
      <c r="Y200" s="5">
        <v>7488.7524000000003</v>
      </c>
      <c r="Z200" s="5">
        <v>13670.636699999999</v>
      </c>
      <c r="AA200" s="5">
        <v>2526.31</v>
      </c>
      <c r="AB200" s="5">
        <v>25928.55</v>
      </c>
      <c r="AC200" s="5">
        <v>1179.5999999999999</v>
      </c>
      <c r="AD200" s="5">
        <v>273.85939999999999</v>
      </c>
    </row>
    <row r="201" spans="5:30" ht="15">
      <c r="E201" s="9">
        <v>40178</v>
      </c>
      <c r="F201" s="5">
        <v>197.49</v>
      </c>
      <c r="G201" s="5">
        <v>457.03699999999998</v>
      </c>
      <c r="H201" s="5">
        <v>651.14589999999998</v>
      </c>
      <c r="I201" s="5">
        <v>1540.34</v>
      </c>
      <c r="J201" s="5">
        <v>379.73009999999999</v>
      </c>
      <c r="K201" s="5">
        <v>1639.67</v>
      </c>
      <c r="L201" s="5">
        <v>1889</v>
      </c>
      <c r="M201" s="5">
        <v>1921.17</v>
      </c>
      <c r="N201" s="5">
        <v>1840.45</v>
      </c>
      <c r="O201" s="5">
        <v>1914.02</v>
      </c>
      <c r="P201" s="5">
        <v>1052.08</v>
      </c>
      <c r="Q201" s="5">
        <v>466.58</v>
      </c>
      <c r="R201" s="5">
        <v>1115.0999999999999</v>
      </c>
      <c r="S201" s="5">
        <v>1168.47</v>
      </c>
      <c r="T201" s="5">
        <v>299.44</v>
      </c>
      <c r="U201" s="5">
        <v>989.47</v>
      </c>
      <c r="V201" s="5">
        <v>4366.9079000000002</v>
      </c>
      <c r="W201" s="5">
        <v>10501.055200000001</v>
      </c>
      <c r="X201" s="5">
        <v>14210.234</v>
      </c>
      <c r="Y201" s="5">
        <v>7642.3634000000002</v>
      </c>
      <c r="Z201" s="5">
        <v>13492.601000000001</v>
      </c>
      <c r="AA201" s="5">
        <v>2690.12</v>
      </c>
      <c r="AB201" s="5">
        <v>27618.94</v>
      </c>
      <c r="AC201" s="5">
        <v>1096.95</v>
      </c>
      <c r="AD201" s="5">
        <v>279.27890000000002</v>
      </c>
    </row>
    <row r="202" spans="5:30" ht="15">
      <c r="E202" s="9">
        <v>40207</v>
      </c>
      <c r="F202" s="5">
        <v>197.56</v>
      </c>
      <c r="G202" s="5">
        <v>460.48759999999999</v>
      </c>
      <c r="H202" s="5">
        <v>661.32270000000005</v>
      </c>
      <c r="I202" s="5">
        <v>1563.87</v>
      </c>
      <c r="J202" s="5">
        <v>383.6198</v>
      </c>
      <c r="K202" s="5">
        <v>1661.42</v>
      </c>
      <c r="L202" s="5">
        <v>1919.82</v>
      </c>
      <c r="M202" s="5">
        <v>1951.2</v>
      </c>
      <c r="N202" s="5">
        <v>1869.92</v>
      </c>
      <c r="O202" s="5">
        <v>1953.06</v>
      </c>
      <c r="P202" s="5">
        <v>1065.3900000000001</v>
      </c>
      <c r="Q202" s="5">
        <v>468.3</v>
      </c>
      <c r="R202" s="5">
        <v>1073.8699999999999</v>
      </c>
      <c r="S202" s="5">
        <v>1119.54</v>
      </c>
      <c r="T202" s="5">
        <v>286.33</v>
      </c>
      <c r="U202" s="5">
        <v>933.59</v>
      </c>
      <c r="V202" s="5">
        <v>4361.7497000000003</v>
      </c>
      <c r="W202" s="5">
        <v>10573.738799999999</v>
      </c>
      <c r="X202" s="5">
        <v>14029.5797</v>
      </c>
      <c r="Y202" s="5">
        <v>7759.4264999999996</v>
      </c>
      <c r="Z202" s="5">
        <v>13229.0828</v>
      </c>
      <c r="AA202" s="5">
        <v>2562.66</v>
      </c>
      <c r="AB202" s="5">
        <v>27335.56</v>
      </c>
      <c r="AC202" s="5">
        <v>1080.8499999999999</v>
      </c>
      <c r="AD202" s="5">
        <v>258.95319999999998</v>
      </c>
    </row>
    <row r="203" spans="5:30" ht="15">
      <c r="E203" s="9">
        <v>40235</v>
      </c>
      <c r="F203" s="5">
        <v>197.57</v>
      </c>
      <c r="G203" s="5">
        <v>461.30110000000002</v>
      </c>
      <c r="H203" s="5">
        <v>663.80240000000003</v>
      </c>
      <c r="I203" s="5">
        <v>1569.71</v>
      </c>
      <c r="J203" s="5">
        <v>385.43169999999998</v>
      </c>
      <c r="K203" s="5">
        <v>1664.37</v>
      </c>
      <c r="L203" s="5">
        <v>1926.64</v>
      </c>
      <c r="M203" s="5">
        <v>1960.51</v>
      </c>
      <c r="N203" s="5">
        <v>1873.06</v>
      </c>
      <c r="O203" s="5">
        <v>1960.43</v>
      </c>
      <c r="P203" s="5">
        <v>1067.25</v>
      </c>
      <c r="Q203" s="5">
        <v>474.93</v>
      </c>
      <c r="R203" s="5">
        <v>1104.49</v>
      </c>
      <c r="S203" s="5">
        <v>1133.3499999999999</v>
      </c>
      <c r="T203" s="5">
        <v>289.5</v>
      </c>
      <c r="U203" s="5">
        <v>935.93</v>
      </c>
      <c r="V203" s="5">
        <v>4367.1900999999998</v>
      </c>
      <c r="W203" s="5">
        <v>10658.9367</v>
      </c>
      <c r="X203" s="5">
        <v>14158.2232</v>
      </c>
      <c r="Y203" s="5">
        <v>7803.0675000000001</v>
      </c>
      <c r="Z203" s="5">
        <v>13250.2135</v>
      </c>
      <c r="AA203" s="5">
        <v>2692.79</v>
      </c>
      <c r="AB203" s="5">
        <v>28661.49</v>
      </c>
      <c r="AC203" s="5">
        <v>1117.5999999999999</v>
      </c>
      <c r="AD203" s="5">
        <v>268.56740000000002</v>
      </c>
    </row>
    <row r="204" spans="5:30" ht="15">
      <c r="E204" s="9">
        <v>40268</v>
      </c>
      <c r="F204" s="5">
        <v>197.58</v>
      </c>
      <c r="G204" s="5">
        <v>460.19909999999999</v>
      </c>
      <c r="H204" s="5">
        <v>658.32449999999994</v>
      </c>
      <c r="I204" s="5">
        <v>1567.78</v>
      </c>
      <c r="J204" s="5">
        <v>386.17509999999999</v>
      </c>
      <c r="K204" s="5">
        <v>1664.92</v>
      </c>
      <c r="L204" s="5">
        <v>1932.4</v>
      </c>
      <c r="M204" s="5">
        <v>1958.94</v>
      </c>
      <c r="N204" s="5">
        <v>1893.19</v>
      </c>
      <c r="O204" s="5">
        <v>1953.69</v>
      </c>
      <c r="P204" s="5">
        <v>1100.71</v>
      </c>
      <c r="Q204" s="5">
        <v>486.01</v>
      </c>
      <c r="R204" s="5">
        <v>1169.43</v>
      </c>
      <c r="S204" s="5">
        <v>1200.53</v>
      </c>
      <c r="T204" s="5">
        <v>307.39999999999998</v>
      </c>
      <c r="U204" s="5">
        <v>1010.33</v>
      </c>
      <c r="V204" s="5">
        <v>4435.1404000000002</v>
      </c>
      <c r="W204" s="5">
        <v>10982.580900000001</v>
      </c>
      <c r="X204" s="5">
        <v>14604.754199999999</v>
      </c>
      <c r="Y204" s="5">
        <v>7929.5212000000001</v>
      </c>
      <c r="Z204" s="5">
        <v>13460.915499999999</v>
      </c>
      <c r="AA204" s="5">
        <v>2944.71</v>
      </c>
      <c r="AB204" s="5">
        <v>30822.32</v>
      </c>
      <c r="AC204" s="5">
        <v>1113.25</v>
      </c>
      <c r="AD204" s="5">
        <v>265.23079999999999</v>
      </c>
    </row>
    <row r="205" spans="5:30" ht="15">
      <c r="E205" s="9">
        <v>40298</v>
      </c>
      <c r="F205" s="5">
        <v>197.62</v>
      </c>
      <c r="G205" s="5">
        <v>461.41449999999998</v>
      </c>
      <c r="H205" s="5">
        <v>665.08339999999998</v>
      </c>
      <c r="I205" s="5">
        <v>1584.1</v>
      </c>
      <c r="J205" s="5">
        <v>388.327</v>
      </c>
      <c r="K205" s="5">
        <v>1674.95</v>
      </c>
      <c r="L205" s="5">
        <v>1967.57</v>
      </c>
      <c r="M205" s="5">
        <v>1998.3</v>
      </c>
      <c r="N205" s="5">
        <v>1919.21</v>
      </c>
      <c r="O205" s="5">
        <v>1999.64</v>
      </c>
      <c r="P205" s="5">
        <v>1126.51</v>
      </c>
      <c r="Q205" s="5">
        <v>489.71</v>
      </c>
      <c r="R205" s="5">
        <v>1186.69</v>
      </c>
      <c r="S205" s="5">
        <v>1198.56</v>
      </c>
      <c r="T205" s="5">
        <v>307.35000000000002</v>
      </c>
      <c r="U205" s="5">
        <v>1020.03</v>
      </c>
      <c r="V205" s="5">
        <v>4473.7561999999998</v>
      </c>
      <c r="W205" s="5">
        <v>11173.788</v>
      </c>
      <c r="X205" s="5">
        <v>14778.5131</v>
      </c>
      <c r="Y205" s="5">
        <v>8039.7221</v>
      </c>
      <c r="Z205" s="5">
        <v>13570.9728</v>
      </c>
      <c r="AA205" s="5">
        <v>3138.77</v>
      </c>
      <c r="AB205" s="5">
        <v>34011.08</v>
      </c>
      <c r="AC205" s="5">
        <v>1179.2</v>
      </c>
      <c r="AD205" s="5">
        <v>270.38760000000002</v>
      </c>
    </row>
    <row r="206" spans="5:30" ht="15">
      <c r="E206" s="9">
        <v>40329</v>
      </c>
      <c r="F206" s="5">
        <v>197.67</v>
      </c>
      <c r="G206" s="5">
        <v>463.47190000000001</v>
      </c>
      <c r="H206" s="5">
        <v>676.33370000000002</v>
      </c>
      <c r="I206" s="5">
        <v>1597.43</v>
      </c>
      <c r="J206" s="5">
        <v>391.33330000000001</v>
      </c>
      <c r="K206" s="5">
        <v>1693.71</v>
      </c>
      <c r="L206" s="5">
        <v>1956.73</v>
      </c>
      <c r="M206" s="5">
        <v>1996.65</v>
      </c>
      <c r="N206" s="5">
        <v>1892.96</v>
      </c>
      <c r="O206" s="5">
        <v>1996.1</v>
      </c>
      <c r="P206" s="5">
        <v>1086.03</v>
      </c>
      <c r="Q206" s="5">
        <v>481.98</v>
      </c>
      <c r="R206" s="5">
        <v>1089.4100000000001</v>
      </c>
      <c r="S206" s="5">
        <v>1079.8</v>
      </c>
      <c r="T206" s="5">
        <v>277.17</v>
      </c>
      <c r="U206" s="5">
        <v>926.4</v>
      </c>
      <c r="V206" s="5">
        <v>4370.8603999999996</v>
      </c>
      <c r="W206" s="5">
        <v>10876.1451</v>
      </c>
      <c r="X206" s="5">
        <v>14180.5224</v>
      </c>
      <c r="Y206" s="5">
        <v>7895.8563999999997</v>
      </c>
      <c r="Z206" s="5">
        <v>13356.1283</v>
      </c>
      <c r="AA206" s="5">
        <v>2972.37</v>
      </c>
      <c r="AB206" s="5">
        <v>30943.07</v>
      </c>
      <c r="AC206" s="5">
        <v>1216.2</v>
      </c>
      <c r="AD206" s="5">
        <v>251.6688</v>
      </c>
    </row>
    <row r="207" spans="5:30" ht="15">
      <c r="E207" s="9">
        <v>40359</v>
      </c>
      <c r="F207" s="5">
        <v>197.71</v>
      </c>
      <c r="G207" s="5">
        <v>465.4742</v>
      </c>
      <c r="H207" s="5">
        <v>688.69970000000001</v>
      </c>
      <c r="I207" s="5">
        <v>1622.48</v>
      </c>
      <c r="J207" s="5">
        <v>394.9049</v>
      </c>
      <c r="K207" s="5">
        <v>1712.72</v>
      </c>
      <c r="L207" s="5">
        <v>1998.43</v>
      </c>
      <c r="M207" s="5">
        <v>2041.49</v>
      </c>
      <c r="N207" s="5">
        <v>1927.57</v>
      </c>
      <c r="O207" s="5">
        <v>2046.54</v>
      </c>
      <c r="P207" s="5">
        <v>1099.55</v>
      </c>
      <c r="Q207" s="5">
        <v>491.65</v>
      </c>
      <c r="R207" s="5">
        <v>1030.71</v>
      </c>
      <c r="S207" s="5">
        <v>1041.32</v>
      </c>
      <c r="T207" s="5">
        <v>268.25</v>
      </c>
      <c r="U207" s="5">
        <v>917.99</v>
      </c>
      <c r="V207" s="5">
        <v>4326.1688999999997</v>
      </c>
      <c r="W207" s="5">
        <v>10757.562400000001</v>
      </c>
      <c r="X207" s="5">
        <v>13918.8408</v>
      </c>
      <c r="Y207" s="5">
        <v>7924.7241000000004</v>
      </c>
      <c r="Z207" s="5">
        <v>13340.6435</v>
      </c>
      <c r="AA207" s="5">
        <v>2836.82</v>
      </c>
      <c r="AB207" s="5">
        <v>28503.23</v>
      </c>
      <c r="AC207" s="5">
        <v>1242.25</v>
      </c>
      <c r="AD207" s="5">
        <v>252.46969999999999</v>
      </c>
    </row>
    <row r="208" spans="5:30" ht="15">
      <c r="E208" s="9">
        <v>40389</v>
      </c>
      <c r="F208" s="5">
        <v>197.75</v>
      </c>
      <c r="G208" s="5">
        <v>466.70499999999998</v>
      </c>
      <c r="H208" s="5">
        <v>693.31610000000001</v>
      </c>
      <c r="I208" s="5">
        <v>1639.79</v>
      </c>
      <c r="J208" s="5">
        <v>398.11709999999999</v>
      </c>
      <c r="K208" s="5">
        <v>1727.41</v>
      </c>
      <c r="L208" s="5">
        <v>2037.58</v>
      </c>
      <c r="M208" s="5">
        <v>2076.87</v>
      </c>
      <c r="N208" s="5">
        <v>1972.82</v>
      </c>
      <c r="O208" s="5">
        <v>2083.84</v>
      </c>
      <c r="P208" s="5">
        <v>1138.6500000000001</v>
      </c>
      <c r="Q208" s="5">
        <v>511.89</v>
      </c>
      <c r="R208" s="5">
        <v>1101.5999999999999</v>
      </c>
      <c r="S208" s="5">
        <v>1124.83</v>
      </c>
      <c r="T208" s="5">
        <v>289.75</v>
      </c>
      <c r="U208" s="5">
        <v>991.41</v>
      </c>
      <c r="V208" s="5">
        <v>4354.0531000000001</v>
      </c>
      <c r="W208" s="5">
        <v>10969.6533</v>
      </c>
      <c r="X208" s="5">
        <v>14246.867</v>
      </c>
      <c r="Y208" s="5">
        <v>8059.5628999999999</v>
      </c>
      <c r="Z208" s="5">
        <v>13332.331</v>
      </c>
      <c r="AA208" s="5">
        <v>3092.76</v>
      </c>
      <c r="AB208" s="5">
        <v>29926.6</v>
      </c>
      <c r="AC208" s="5">
        <v>1181</v>
      </c>
      <c r="AD208" s="5">
        <v>269.57260000000002</v>
      </c>
    </row>
    <row r="209" spans="5:30" ht="15">
      <c r="E209" s="9">
        <v>40421</v>
      </c>
      <c r="F209" s="5">
        <v>197.8</v>
      </c>
      <c r="G209" s="5">
        <v>467.57459999999998</v>
      </c>
      <c r="H209" s="5">
        <v>707.1558</v>
      </c>
      <c r="I209" s="5">
        <v>1660.89</v>
      </c>
      <c r="J209" s="5">
        <v>404.72539999999998</v>
      </c>
      <c r="K209" s="5">
        <v>1730.06</v>
      </c>
      <c r="L209" s="5">
        <v>2077.9899999999998</v>
      </c>
      <c r="M209" s="5">
        <v>2121.63</v>
      </c>
      <c r="N209" s="5">
        <v>2002.73</v>
      </c>
      <c r="O209" s="5">
        <v>2138.86</v>
      </c>
      <c r="P209" s="5">
        <v>1139.06</v>
      </c>
      <c r="Q209" s="5">
        <v>523.79999999999995</v>
      </c>
      <c r="R209" s="5">
        <v>1049.33</v>
      </c>
      <c r="S209" s="5">
        <v>1080.7</v>
      </c>
      <c r="T209" s="5">
        <v>279.06</v>
      </c>
      <c r="U209" s="5">
        <v>970.05</v>
      </c>
      <c r="V209" s="5">
        <v>4360.4875000000002</v>
      </c>
      <c r="W209" s="5">
        <v>10927.567499999999</v>
      </c>
      <c r="X209" s="5">
        <v>14051.308999999999</v>
      </c>
      <c r="Y209" s="5">
        <v>8125.5532000000003</v>
      </c>
      <c r="Z209" s="5">
        <v>13557.523999999999</v>
      </c>
      <c r="AA209" s="5">
        <v>3050.51</v>
      </c>
      <c r="AB209" s="5">
        <v>27524.400000000001</v>
      </c>
      <c r="AC209" s="5">
        <v>1247.45</v>
      </c>
      <c r="AD209" s="5">
        <v>262.71159999999998</v>
      </c>
    </row>
    <row r="210" spans="5:30" ht="15">
      <c r="E210" s="9">
        <v>40451</v>
      </c>
      <c r="F210" s="5">
        <v>197.83</v>
      </c>
      <c r="G210" s="5">
        <v>468.29719999999998</v>
      </c>
      <c r="H210" s="5">
        <v>707.16589999999997</v>
      </c>
      <c r="I210" s="5">
        <v>1662.66</v>
      </c>
      <c r="J210" s="5">
        <v>403.82150000000001</v>
      </c>
      <c r="K210" s="5">
        <v>1723.47</v>
      </c>
      <c r="L210" s="5">
        <v>2092.52</v>
      </c>
      <c r="M210" s="5">
        <v>2132.81</v>
      </c>
      <c r="N210" s="5">
        <v>2025.2</v>
      </c>
      <c r="O210" s="5">
        <v>2142.9499999999998</v>
      </c>
      <c r="P210" s="5">
        <v>1173.3800000000001</v>
      </c>
      <c r="Q210" s="5">
        <v>532.58000000000004</v>
      </c>
      <c r="R210" s="5">
        <v>1141.2</v>
      </c>
      <c r="S210" s="5">
        <v>1179.19</v>
      </c>
      <c r="T210" s="5">
        <v>305.16000000000003</v>
      </c>
      <c r="U210" s="5">
        <v>1075.53</v>
      </c>
      <c r="V210" s="5">
        <v>4447.3213999999998</v>
      </c>
      <c r="W210" s="5">
        <v>11202.8588</v>
      </c>
      <c r="X210" s="5">
        <v>14717.319600000001</v>
      </c>
      <c r="Y210" s="5">
        <v>8258.1175999999996</v>
      </c>
      <c r="Z210" s="5">
        <v>13928.3614</v>
      </c>
      <c r="AA210" s="5">
        <v>3187.27</v>
      </c>
      <c r="AB210" s="5">
        <v>30635.89</v>
      </c>
      <c r="AC210" s="5">
        <v>1308.3499999999999</v>
      </c>
      <c r="AD210" s="5">
        <v>281.78530000000001</v>
      </c>
    </row>
    <row r="211" spans="5:30" ht="15">
      <c r="E211" s="9">
        <v>40480</v>
      </c>
      <c r="F211" s="5">
        <v>197.87</v>
      </c>
      <c r="G211" s="5">
        <v>469.3811</v>
      </c>
      <c r="H211" s="5">
        <v>706.01049999999998</v>
      </c>
      <c r="I211" s="5">
        <v>1668.58</v>
      </c>
      <c r="J211" s="5">
        <v>403.4599</v>
      </c>
      <c r="K211" s="5">
        <v>1740.35</v>
      </c>
      <c r="L211" s="5">
        <v>2094.9899999999998</v>
      </c>
      <c r="M211" s="5">
        <v>2131.8000000000002</v>
      </c>
      <c r="N211" s="5">
        <v>2036.45</v>
      </c>
      <c r="O211" s="5">
        <v>2132.79</v>
      </c>
      <c r="P211" s="5">
        <v>1203.68</v>
      </c>
      <c r="Q211" s="5">
        <v>541.74</v>
      </c>
      <c r="R211" s="5">
        <v>1183.26</v>
      </c>
      <c r="S211" s="5">
        <v>1222.23</v>
      </c>
      <c r="T211" s="5">
        <v>315.95</v>
      </c>
      <c r="U211" s="5">
        <v>1105.75</v>
      </c>
      <c r="V211" s="5">
        <v>4509.0217000000002</v>
      </c>
      <c r="W211" s="5">
        <v>11411.1639</v>
      </c>
      <c r="X211" s="5">
        <v>15065.619199999999</v>
      </c>
      <c r="Y211" s="5">
        <v>8387.0074999999997</v>
      </c>
      <c r="Z211" s="5">
        <v>14239.0774</v>
      </c>
      <c r="AA211" s="5">
        <v>3332.1</v>
      </c>
      <c r="AB211" s="5">
        <v>32072.43</v>
      </c>
      <c r="AC211" s="5">
        <v>1359.4</v>
      </c>
      <c r="AD211" s="5">
        <v>295.82600000000002</v>
      </c>
    </row>
    <row r="212" spans="5:30" ht="15">
      <c r="E212" s="9">
        <v>40512</v>
      </c>
      <c r="F212" s="5">
        <v>197.88</v>
      </c>
      <c r="G212" s="5">
        <v>468.52359999999999</v>
      </c>
      <c r="H212" s="5">
        <v>701.17939999999999</v>
      </c>
      <c r="I212" s="5">
        <v>1658.99</v>
      </c>
      <c r="J212" s="5">
        <v>399.12</v>
      </c>
      <c r="K212" s="5">
        <v>1737.22</v>
      </c>
      <c r="L212" s="5">
        <v>2077.9899999999998</v>
      </c>
      <c r="M212" s="5">
        <v>2114.92</v>
      </c>
      <c r="N212" s="5">
        <v>2018.19</v>
      </c>
      <c r="O212" s="5">
        <v>2119.29</v>
      </c>
      <c r="P212" s="5">
        <v>1189.6199999999999</v>
      </c>
      <c r="Q212" s="5">
        <v>524.49</v>
      </c>
      <c r="R212" s="5">
        <v>1180.55</v>
      </c>
      <c r="S212" s="5">
        <v>1193.56</v>
      </c>
      <c r="T212" s="5">
        <v>308.38</v>
      </c>
      <c r="U212" s="5">
        <v>1075.8499999999999</v>
      </c>
      <c r="V212" s="5">
        <v>4508.1797999999999</v>
      </c>
      <c r="W212" s="5">
        <v>11440.745199999999</v>
      </c>
      <c r="X212" s="5">
        <v>15161.6183</v>
      </c>
      <c r="Y212" s="5">
        <v>8425.8997999999992</v>
      </c>
      <c r="Z212" s="5">
        <v>14108.606900000001</v>
      </c>
      <c r="AA212" s="5">
        <v>3277.59</v>
      </c>
      <c r="AB212" s="5">
        <v>32974.5</v>
      </c>
      <c r="AC212" s="5">
        <v>1386.03</v>
      </c>
      <c r="AD212" s="5">
        <v>294.77870000000001</v>
      </c>
    </row>
    <row r="213" spans="5:30" ht="15">
      <c r="E213" s="9">
        <v>40543</v>
      </c>
      <c r="F213" s="5">
        <v>197.93</v>
      </c>
      <c r="G213" s="5">
        <v>467.67099999999999</v>
      </c>
      <c r="H213" s="5">
        <v>688.99879999999996</v>
      </c>
      <c r="I213" s="5">
        <v>1641.1</v>
      </c>
      <c r="J213" s="5">
        <v>397.24869999999999</v>
      </c>
      <c r="K213" s="5">
        <v>1727.67</v>
      </c>
      <c r="L213" s="5">
        <v>2058.9299999999998</v>
      </c>
      <c r="M213" s="5">
        <v>2087.4299999999998</v>
      </c>
      <c r="N213" s="5">
        <v>2014.25</v>
      </c>
      <c r="O213" s="5">
        <v>2090.1999999999998</v>
      </c>
      <c r="P213" s="5">
        <v>1211.19</v>
      </c>
      <c r="Q213" s="5">
        <v>522.75</v>
      </c>
      <c r="R213" s="5">
        <v>1257.6400000000001</v>
      </c>
      <c r="S213" s="5">
        <v>1280.07</v>
      </c>
      <c r="T213" s="5">
        <v>330.64</v>
      </c>
      <c r="U213" s="5">
        <v>1151.3800000000001</v>
      </c>
      <c r="V213" s="5">
        <v>4606.1641</v>
      </c>
      <c r="W213" s="5">
        <v>11746.741099999999</v>
      </c>
      <c r="X213" s="5">
        <v>15695.802</v>
      </c>
      <c r="Y213" s="5">
        <v>8515.8307999999997</v>
      </c>
      <c r="Z213" s="5">
        <v>14579.778399999999</v>
      </c>
      <c r="AA213" s="5">
        <v>3431.62</v>
      </c>
      <c r="AB213" s="5">
        <v>35926.49</v>
      </c>
      <c r="AC213" s="5">
        <v>1420.78</v>
      </c>
      <c r="AD213" s="5">
        <v>326.28750000000002</v>
      </c>
    </row>
    <row r="214" spans="5:30" ht="15">
      <c r="E214" s="9">
        <v>40574</v>
      </c>
      <c r="F214" s="5">
        <v>197.96</v>
      </c>
      <c r="G214" s="5">
        <v>468.42930000000001</v>
      </c>
      <c r="H214" s="5">
        <v>688.62959999999998</v>
      </c>
      <c r="I214" s="5">
        <v>1643.01</v>
      </c>
      <c r="J214" s="5">
        <v>396.0181</v>
      </c>
      <c r="K214" s="5">
        <v>1728.56</v>
      </c>
      <c r="L214" s="5">
        <v>2063.0300000000002</v>
      </c>
      <c r="M214" s="5">
        <v>2087.9299999999998</v>
      </c>
      <c r="N214" s="5">
        <v>2024.99</v>
      </c>
      <c r="O214" s="5">
        <v>2089.4</v>
      </c>
      <c r="P214" s="5">
        <v>1237.9100000000001</v>
      </c>
      <c r="Q214" s="5">
        <v>519.91</v>
      </c>
      <c r="R214" s="5">
        <v>1286.1199999999999</v>
      </c>
      <c r="S214" s="5">
        <v>1308.08</v>
      </c>
      <c r="T214" s="5">
        <v>335.58</v>
      </c>
      <c r="U214" s="5">
        <v>1119.08</v>
      </c>
      <c r="V214" s="5">
        <v>4617.9623000000001</v>
      </c>
      <c r="W214" s="5">
        <v>11944.021000000001</v>
      </c>
      <c r="X214" s="5">
        <v>15761.9638</v>
      </c>
      <c r="Y214" s="5">
        <v>8613.3737999999994</v>
      </c>
      <c r="Z214" s="5">
        <v>14474.621999999999</v>
      </c>
      <c r="AA214" s="5">
        <v>3562.13</v>
      </c>
      <c r="AB214" s="5">
        <v>36231.29</v>
      </c>
      <c r="AC214" s="5">
        <v>1332.8</v>
      </c>
      <c r="AD214" s="5">
        <v>329.56020000000001</v>
      </c>
    </row>
    <row r="215" spans="5:30" ht="15">
      <c r="E215" s="9">
        <v>40602</v>
      </c>
      <c r="F215" s="5">
        <v>197.99</v>
      </c>
      <c r="G215" s="5">
        <v>468.0009</v>
      </c>
      <c r="H215" s="5">
        <v>688.11440000000005</v>
      </c>
      <c r="I215" s="5">
        <v>1647.12</v>
      </c>
      <c r="J215" s="5">
        <v>396.7396</v>
      </c>
      <c r="K215" s="5">
        <v>1732.9</v>
      </c>
      <c r="L215" s="5">
        <v>2079.38</v>
      </c>
      <c r="M215" s="5">
        <v>2100.71</v>
      </c>
      <c r="N215" s="5">
        <v>2046.58</v>
      </c>
      <c r="O215" s="5">
        <v>2104.83</v>
      </c>
      <c r="P215" s="5">
        <v>1254.1300000000001</v>
      </c>
      <c r="Q215" s="5">
        <v>521.44000000000005</v>
      </c>
      <c r="R215" s="5">
        <v>1327.22</v>
      </c>
      <c r="S215" s="5">
        <v>1351.65</v>
      </c>
      <c r="T215" s="5">
        <v>344.82</v>
      </c>
      <c r="U215" s="5">
        <v>1107.77</v>
      </c>
      <c r="V215" s="5">
        <v>4659.2302</v>
      </c>
      <c r="W215" s="5">
        <v>12106.896000000001</v>
      </c>
      <c r="X215" s="5">
        <v>15966.969300000001</v>
      </c>
      <c r="Y215" s="5">
        <v>8691.5589999999993</v>
      </c>
      <c r="Z215" s="5">
        <v>14659.216200000001</v>
      </c>
      <c r="AA215" s="5">
        <v>3722.32</v>
      </c>
      <c r="AB215" s="5">
        <v>37825.35</v>
      </c>
      <c r="AC215" s="5">
        <v>1411.47</v>
      </c>
      <c r="AD215" s="5">
        <v>333.90350000000001</v>
      </c>
    </row>
    <row r="216" spans="5:30" ht="15">
      <c r="E216" s="9">
        <v>40633</v>
      </c>
      <c r="F216" s="5">
        <v>198.03</v>
      </c>
      <c r="G216" s="5">
        <v>467.7527</v>
      </c>
      <c r="H216" s="5">
        <v>687.69899999999996</v>
      </c>
      <c r="I216" s="5">
        <v>1648.03</v>
      </c>
      <c r="J216" s="5">
        <v>396.43889999999999</v>
      </c>
      <c r="K216" s="5">
        <v>1737.73</v>
      </c>
      <c r="L216" s="5">
        <v>2076.6</v>
      </c>
      <c r="M216" s="5">
        <v>2098.77</v>
      </c>
      <c r="N216" s="5">
        <v>2042.56</v>
      </c>
      <c r="O216" s="5">
        <v>2102.36</v>
      </c>
      <c r="P216" s="5">
        <v>1258.19</v>
      </c>
      <c r="Q216" s="5">
        <v>528.05999999999995</v>
      </c>
      <c r="R216" s="5">
        <v>1325.83</v>
      </c>
      <c r="S216" s="5">
        <v>1334.93</v>
      </c>
      <c r="T216" s="5">
        <v>343.64</v>
      </c>
      <c r="U216" s="5">
        <v>1170.8699999999999</v>
      </c>
      <c r="V216" s="5">
        <v>4656.0150000000003</v>
      </c>
      <c r="W216" s="5">
        <v>12149.911099999999</v>
      </c>
      <c r="X216" s="5">
        <v>16046.6957</v>
      </c>
      <c r="Y216" s="5">
        <v>8716.3889999999992</v>
      </c>
      <c r="Z216" s="5">
        <v>14499.349700000001</v>
      </c>
      <c r="AA216" s="5">
        <v>3671.46</v>
      </c>
      <c r="AB216" s="5">
        <v>38471.21</v>
      </c>
      <c r="AC216" s="5">
        <v>1432.3</v>
      </c>
      <c r="AD216" s="5">
        <v>340.7971</v>
      </c>
    </row>
    <row r="217" spans="5:30" ht="15">
      <c r="E217" s="9">
        <v>40662</v>
      </c>
      <c r="F217" s="5">
        <v>198.09</v>
      </c>
      <c r="G217" s="5">
        <v>469.7722</v>
      </c>
      <c r="H217" s="5">
        <v>695.55830000000003</v>
      </c>
      <c r="I217" s="5">
        <v>1668.95</v>
      </c>
      <c r="J217" s="5">
        <v>400.03320000000002</v>
      </c>
      <c r="K217" s="5">
        <v>1756.8</v>
      </c>
      <c r="L217" s="5">
        <v>2112.31</v>
      </c>
      <c r="M217" s="5">
        <v>2133.9299999999998</v>
      </c>
      <c r="N217" s="5">
        <v>2078.5700000000002</v>
      </c>
      <c r="O217" s="5">
        <v>2139.9</v>
      </c>
      <c r="P217" s="5">
        <v>1277.69</v>
      </c>
      <c r="Q217" s="5">
        <v>535.41</v>
      </c>
      <c r="R217" s="5">
        <v>1363.61</v>
      </c>
      <c r="S217" s="5">
        <v>1388.62</v>
      </c>
      <c r="T217" s="5">
        <v>356.9</v>
      </c>
      <c r="U217" s="5">
        <v>1204.03</v>
      </c>
      <c r="V217" s="5">
        <v>4707.8611000000001</v>
      </c>
      <c r="W217" s="5">
        <v>12294.987499999999</v>
      </c>
      <c r="X217" s="5">
        <v>16261.042100000001</v>
      </c>
      <c r="Y217" s="5">
        <v>8788.4336000000003</v>
      </c>
      <c r="Z217" s="5">
        <v>14843.1054</v>
      </c>
      <c r="AA217" s="5">
        <v>3847.71</v>
      </c>
      <c r="AB217" s="5">
        <v>38946.449999999997</v>
      </c>
      <c r="AC217" s="5">
        <v>1563.7</v>
      </c>
      <c r="AD217" s="5">
        <v>352.59910000000002</v>
      </c>
    </row>
    <row r="218" spans="5:30" ht="15">
      <c r="E218" s="9">
        <v>40694</v>
      </c>
      <c r="F218" s="5">
        <v>198.11</v>
      </c>
      <c r="G218" s="5">
        <v>471.32780000000002</v>
      </c>
      <c r="H218" s="5">
        <v>706.1395</v>
      </c>
      <c r="I218" s="5">
        <v>1690.73</v>
      </c>
      <c r="J218" s="5">
        <v>403.91730000000001</v>
      </c>
      <c r="K218" s="5">
        <v>1775.67</v>
      </c>
      <c r="L218" s="5">
        <v>2142.8200000000002</v>
      </c>
      <c r="M218" s="5">
        <v>2168.4</v>
      </c>
      <c r="N218" s="5">
        <v>2098.9899999999998</v>
      </c>
      <c r="O218" s="5">
        <v>2186.33</v>
      </c>
      <c r="P218" s="5">
        <v>1283.92</v>
      </c>
      <c r="Q218" s="5">
        <v>543.26</v>
      </c>
      <c r="R218" s="5">
        <v>1345.2</v>
      </c>
      <c r="S218" s="5">
        <v>1354.61</v>
      </c>
      <c r="T218" s="5">
        <v>347.9</v>
      </c>
      <c r="U218" s="5">
        <v>1167.97</v>
      </c>
      <c r="V218" s="5">
        <v>4661.3624</v>
      </c>
      <c r="W218" s="5">
        <v>12237.802299999999</v>
      </c>
      <c r="X218" s="5">
        <v>16052.839400000001</v>
      </c>
      <c r="Y218" s="5">
        <v>8797.1900999999998</v>
      </c>
      <c r="Z218" s="5">
        <v>14501.493200000001</v>
      </c>
      <c r="AA218" s="5">
        <v>3883.34</v>
      </c>
      <c r="AB218" s="5">
        <v>37995.33</v>
      </c>
      <c r="AC218" s="5">
        <v>1535.8</v>
      </c>
      <c r="AD218" s="5">
        <v>334.76389999999998</v>
      </c>
    </row>
    <row r="219" spans="5:30" ht="15">
      <c r="E219" s="9">
        <v>40724</v>
      </c>
      <c r="F219" s="5">
        <v>198.13</v>
      </c>
      <c r="G219" s="5">
        <v>471.45960000000002</v>
      </c>
      <c r="H219" s="5">
        <v>703.7713</v>
      </c>
      <c r="I219" s="5">
        <v>1685.78</v>
      </c>
      <c r="J219" s="5">
        <v>403.11520000000002</v>
      </c>
      <c r="K219" s="5">
        <v>1777.33</v>
      </c>
      <c r="L219" s="5">
        <v>2124.04</v>
      </c>
      <c r="M219" s="5">
        <v>2150.14</v>
      </c>
      <c r="N219" s="5">
        <v>2081.12</v>
      </c>
      <c r="O219" s="5">
        <v>2161.84</v>
      </c>
      <c r="P219" s="5">
        <v>1271.42</v>
      </c>
      <c r="Q219" s="5">
        <v>549.35</v>
      </c>
      <c r="R219" s="5">
        <v>1320.64</v>
      </c>
      <c r="S219" s="5">
        <v>1331.18</v>
      </c>
      <c r="T219" s="5">
        <v>341.82</v>
      </c>
      <c r="U219" s="5">
        <v>1146.22</v>
      </c>
      <c r="V219" s="5">
        <v>4600.8978999999999</v>
      </c>
      <c r="W219" s="5">
        <v>12112.5895</v>
      </c>
      <c r="X219" s="5">
        <v>15850.615599999999</v>
      </c>
      <c r="Y219" s="5">
        <v>8775.1352999999999</v>
      </c>
      <c r="Z219" s="5">
        <v>14249.044</v>
      </c>
      <c r="AA219" s="5">
        <v>3776.69</v>
      </c>
      <c r="AB219" s="5">
        <v>37208.89</v>
      </c>
      <c r="AC219" s="5">
        <v>1500.35</v>
      </c>
      <c r="AD219" s="5">
        <v>317.87759999999997</v>
      </c>
    </row>
    <row r="220" spans="5:30" ht="15">
      <c r="E220" s="9">
        <v>40753</v>
      </c>
      <c r="F220" s="5">
        <v>198.12</v>
      </c>
      <c r="G220" s="5">
        <v>472.70229999999998</v>
      </c>
      <c r="H220" s="5">
        <v>716.39110000000005</v>
      </c>
      <c r="I220" s="5">
        <v>1712.53</v>
      </c>
      <c r="J220" s="5">
        <v>407.64589999999998</v>
      </c>
      <c r="K220" s="5">
        <v>1793.85</v>
      </c>
      <c r="L220" s="5">
        <v>2177.6</v>
      </c>
      <c r="M220" s="5">
        <v>2215.69</v>
      </c>
      <c r="N220" s="5">
        <v>2111.87</v>
      </c>
      <c r="O220" s="5">
        <v>2235.5300000000002</v>
      </c>
      <c r="P220" s="5">
        <v>1286.1600000000001</v>
      </c>
      <c r="Q220" s="5">
        <v>560.04</v>
      </c>
      <c r="R220" s="5">
        <v>1292.28</v>
      </c>
      <c r="S220" s="5">
        <v>1306.05</v>
      </c>
      <c r="T220" s="5">
        <v>335.9</v>
      </c>
      <c r="U220" s="5">
        <v>1137.73</v>
      </c>
      <c r="V220" s="5">
        <v>4616.5456000000004</v>
      </c>
      <c r="W220" s="5">
        <v>12089.269</v>
      </c>
      <c r="X220" s="5">
        <v>15798.759400000001</v>
      </c>
      <c r="Y220" s="5">
        <v>8774.8413999999993</v>
      </c>
      <c r="Z220" s="5">
        <v>14484.9593</v>
      </c>
      <c r="AA220" s="5">
        <v>3788.86</v>
      </c>
      <c r="AB220" s="5">
        <v>36221.120000000003</v>
      </c>
      <c r="AC220" s="5">
        <v>1627.88</v>
      </c>
      <c r="AD220" s="5">
        <v>327.29239999999999</v>
      </c>
    </row>
    <row r="221" spans="5:30" ht="15">
      <c r="E221" s="9">
        <v>40786</v>
      </c>
      <c r="F221" s="5">
        <v>198.19</v>
      </c>
      <c r="G221" s="5">
        <v>474.2953</v>
      </c>
      <c r="H221" s="5">
        <v>736.06200000000001</v>
      </c>
      <c r="I221" s="5">
        <v>1737.55</v>
      </c>
      <c r="J221" s="5">
        <v>412.62099999999998</v>
      </c>
      <c r="K221" s="5">
        <v>1816.19</v>
      </c>
      <c r="L221" s="5">
        <v>2179.02</v>
      </c>
      <c r="M221" s="5">
        <v>2231.88</v>
      </c>
      <c r="N221" s="5">
        <v>2083.08</v>
      </c>
      <c r="O221" s="5">
        <v>2269.81</v>
      </c>
      <c r="P221" s="5">
        <v>1234.68</v>
      </c>
      <c r="Q221" s="5">
        <v>563.02</v>
      </c>
      <c r="R221" s="5">
        <v>1218.8900000000001</v>
      </c>
      <c r="S221" s="5">
        <v>1211.22</v>
      </c>
      <c r="T221" s="5">
        <v>310.62</v>
      </c>
      <c r="U221" s="5">
        <v>1033.1500000000001</v>
      </c>
      <c r="V221" s="5">
        <v>4503.5981000000002</v>
      </c>
      <c r="W221" s="5">
        <v>11639.482</v>
      </c>
      <c r="X221" s="5">
        <v>15026.5375</v>
      </c>
      <c r="Y221" s="5">
        <v>8584.3916000000008</v>
      </c>
      <c r="Z221" s="5">
        <v>14410.909799999999</v>
      </c>
      <c r="AA221" s="5">
        <v>3605.03</v>
      </c>
      <c r="AB221" s="5">
        <v>32422.33</v>
      </c>
      <c r="AC221" s="5">
        <v>1825.72</v>
      </c>
      <c r="AD221" s="5">
        <v>330.5607</v>
      </c>
    </row>
    <row r="222" spans="5:30" ht="15">
      <c r="E222" s="9">
        <v>40816</v>
      </c>
      <c r="F222" s="5">
        <v>198.19</v>
      </c>
      <c r="G222" s="5">
        <v>473.73520000000002</v>
      </c>
      <c r="H222" s="5">
        <v>749.02200000000005</v>
      </c>
      <c r="I222" s="5">
        <v>1750.19</v>
      </c>
      <c r="J222" s="5">
        <v>415.0849</v>
      </c>
      <c r="K222" s="5">
        <v>1819.29</v>
      </c>
      <c r="L222" s="5">
        <v>2184.58</v>
      </c>
      <c r="M222" s="5">
        <v>2254.52</v>
      </c>
      <c r="N222" s="5">
        <v>2052.5500000000002</v>
      </c>
      <c r="O222" s="5">
        <v>2314.8200000000002</v>
      </c>
      <c r="P222" s="5">
        <v>1194.32</v>
      </c>
      <c r="Q222" s="5">
        <v>539.37</v>
      </c>
      <c r="R222" s="5">
        <v>1131.42</v>
      </c>
      <c r="S222" s="5">
        <v>1104.06</v>
      </c>
      <c r="T222" s="5">
        <v>280.64</v>
      </c>
      <c r="U222" s="5">
        <v>880.43</v>
      </c>
      <c r="V222" s="5">
        <v>4401.1941999999999</v>
      </c>
      <c r="W222" s="5">
        <v>11180.7089</v>
      </c>
      <c r="X222" s="5">
        <v>14119.6338</v>
      </c>
      <c r="Y222" s="5">
        <v>8440.1893</v>
      </c>
      <c r="Z222" s="5">
        <v>14231.7312</v>
      </c>
      <c r="AA222" s="5">
        <v>3228.59</v>
      </c>
      <c r="AB222" s="5">
        <v>28966.43</v>
      </c>
      <c r="AC222" s="5">
        <v>1623.97</v>
      </c>
      <c r="AD222" s="5">
        <v>281.8526</v>
      </c>
    </row>
    <row r="223" spans="5:30" ht="15">
      <c r="E223" s="9">
        <v>40847</v>
      </c>
      <c r="F223" s="5">
        <v>198.2</v>
      </c>
      <c r="G223" s="5">
        <v>474.10430000000002</v>
      </c>
      <c r="H223" s="5">
        <v>742.95939999999996</v>
      </c>
      <c r="I223" s="5">
        <v>1752.07</v>
      </c>
      <c r="J223" s="5">
        <v>414.6773</v>
      </c>
      <c r="K223" s="5">
        <v>1819.24</v>
      </c>
      <c r="L223" s="5">
        <v>2223.63</v>
      </c>
      <c r="M223" s="5">
        <v>2290.46</v>
      </c>
      <c r="N223" s="5">
        <v>2102.5</v>
      </c>
      <c r="O223" s="5">
        <v>2333.0700000000002</v>
      </c>
      <c r="P223" s="5">
        <v>1265.8900000000001</v>
      </c>
      <c r="Q223" s="5">
        <v>563.69000000000005</v>
      </c>
      <c r="R223" s="5">
        <v>1253.3</v>
      </c>
      <c r="S223" s="5">
        <v>1217.3</v>
      </c>
      <c r="T223" s="5">
        <v>310.41000000000003</v>
      </c>
      <c r="U223" s="5">
        <v>995</v>
      </c>
      <c r="V223" s="5">
        <v>4434.5045</v>
      </c>
      <c r="W223" s="5">
        <v>11519.001700000001</v>
      </c>
      <c r="X223" s="5">
        <v>14812.638800000001</v>
      </c>
      <c r="Y223" s="5">
        <v>8547.0722000000005</v>
      </c>
      <c r="Z223" s="5">
        <v>14100.214</v>
      </c>
      <c r="AA223" s="5">
        <v>3653.98</v>
      </c>
      <c r="AB223" s="5">
        <v>31913.29</v>
      </c>
      <c r="AC223" s="5">
        <v>1714.85</v>
      </c>
      <c r="AD223" s="5">
        <v>300.50659999999999</v>
      </c>
    </row>
    <row r="224" spans="5:30" ht="15">
      <c r="E224" s="9">
        <v>40877</v>
      </c>
      <c r="F224" s="5">
        <v>198.21</v>
      </c>
      <c r="G224" s="5">
        <v>474.33199999999999</v>
      </c>
      <c r="H224" s="5">
        <v>748.32809999999995</v>
      </c>
      <c r="I224" s="5">
        <v>1750.55</v>
      </c>
      <c r="J224" s="5">
        <v>412.42689999999999</v>
      </c>
      <c r="K224" s="5">
        <v>1822.55</v>
      </c>
      <c r="L224" s="5">
        <v>2180.0500000000002</v>
      </c>
      <c r="M224" s="5">
        <v>2252.8000000000002</v>
      </c>
      <c r="N224" s="5">
        <v>2039.14</v>
      </c>
      <c r="O224" s="5">
        <v>2325.41</v>
      </c>
      <c r="P224" s="5">
        <v>1238.5999999999999</v>
      </c>
      <c r="Q224" s="5">
        <v>560.39</v>
      </c>
      <c r="R224" s="5">
        <v>1246.96</v>
      </c>
      <c r="S224" s="5">
        <v>1184.5999999999999</v>
      </c>
      <c r="T224" s="5">
        <v>300.45</v>
      </c>
      <c r="U224" s="5">
        <v>928.32</v>
      </c>
      <c r="V224" s="5">
        <v>4397.2160000000003</v>
      </c>
      <c r="W224" s="5">
        <v>11382.528899999999</v>
      </c>
      <c r="X224" s="5">
        <v>14513.199000000001</v>
      </c>
      <c r="Y224" s="5">
        <v>8496.2237000000005</v>
      </c>
      <c r="Z224" s="5">
        <v>14008.1811</v>
      </c>
      <c r="AA224" s="5">
        <v>3522.02</v>
      </c>
      <c r="AB224" s="5">
        <v>31478.47</v>
      </c>
      <c r="AC224" s="5">
        <v>1746.38</v>
      </c>
      <c r="AD224" s="5">
        <v>293.8383</v>
      </c>
    </row>
    <row r="225" spans="5:30" ht="15">
      <c r="E225" s="9">
        <v>40907</v>
      </c>
      <c r="F225" s="5">
        <v>198.22</v>
      </c>
      <c r="G225" s="5">
        <v>474.56119999999999</v>
      </c>
      <c r="H225" s="5">
        <v>755.22069999999997</v>
      </c>
      <c r="I225" s="5">
        <v>1769.79</v>
      </c>
      <c r="J225" s="5">
        <v>418.69979999999998</v>
      </c>
      <c r="K225" s="5">
        <v>1835.33</v>
      </c>
      <c r="L225" s="5">
        <v>2226.65</v>
      </c>
      <c r="M225" s="5">
        <v>2305.98</v>
      </c>
      <c r="N225" s="5">
        <v>2077.64</v>
      </c>
      <c r="O225" s="5">
        <v>2366.77</v>
      </c>
      <c r="P225" s="5">
        <v>1271.5</v>
      </c>
      <c r="Q225" s="5">
        <v>567</v>
      </c>
      <c r="R225" s="5">
        <v>1257.6099999999999</v>
      </c>
      <c r="S225" s="5">
        <v>1182.5899999999999</v>
      </c>
      <c r="T225" s="5">
        <v>299.51</v>
      </c>
      <c r="U225" s="5">
        <v>916.39</v>
      </c>
      <c r="V225" s="5">
        <v>4375.6292999999996</v>
      </c>
      <c r="W225" s="5">
        <v>11358.5941</v>
      </c>
      <c r="X225" s="5">
        <v>14380.5085</v>
      </c>
      <c r="Y225" s="5">
        <v>8528.4282999999996</v>
      </c>
      <c r="Z225" s="5">
        <v>13973.4763</v>
      </c>
      <c r="AA225" s="5">
        <v>3682.29</v>
      </c>
      <c r="AB225" s="5">
        <v>31855.599999999999</v>
      </c>
      <c r="AC225" s="5">
        <v>1563.7</v>
      </c>
      <c r="AD225" s="5">
        <v>282.82549999999998</v>
      </c>
    </row>
    <row r="226" spans="5:30" ht="15">
      <c r="E226" s="9">
        <v>40939</v>
      </c>
      <c r="F226" s="5">
        <v>198.22</v>
      </c>
      <c r="G226" s="5">
        <v>475.1157</v>
      </c>
      <c r="H226" s="5">
        <v>758.37339999999995</v>
      </c>
      <c r="I226" s="5">
        <v>1785.33</v>
      </c>
      <c r="J226" s="5">
        <v>422.83710000000002</v>
      </c>
      <c r="K226" s="5">
        <v>1842.81</v>
      </c>
      <c r="L226" s="5">
        <v>2275.9499999999998</v>
      </c>
      <c r="M226" s="5">
        <v>2342.4499999999998</v>
      </c>
      <c r="N226" s="5">
        <v>2153.61</v>
      </c>
      <c r="O226" s="5">
        <v>2394.0700000000002</v>
      </c>
      <c r="P226" s="5">
        <v>1310.0999999999999</v>
      </c>
      <c r="Q226" s="5">
        <v>576.99</v>
      </c>
      <c r="R226" s="5">
        <v>1312.41</v>
      </c>
      <c r="S226" s="5">
        <v>1240.8900000000001</v>
      </c>
      <c r="T226" s="5">
        <v>316.64999999999998</v>
      </c>
      <c r="U226" s="5">
        <v>1019.39</v>
      </c>
      <c r="V226" s="5">
        <v>4444.5266000000001</v>
      </c>
      <c r="W226" s="5">
        <v>11646.5118</v>
      </c>
      <c r="X226" s="5">
        <v>14938.820900000001</v>
      </c>
      <c r="Y226" s="5">
        <v>8696.7656000000006</v>
      </c>
      <c r="Z226" s="5">
        <v>14150.578100000001</v>
      </c>
      <c r="AA226" s="5">
        <v>3919.93</v>
      </c>
      <c r="AB226" s="5">
        <v>34920.29</v>
      </c>
      <c r="AC226" s="5">
        <v>1737.6</v>
      </c>
      <c r="AD226" s="5">
        <v>289.81939999999997</v>
      </c>
    </row>
    <row r="227" spans="5:30" ht="15">
      <c r="E227" s="9">
        <v>40968</v>
      </c>
      <c r="F227" s="5">
        <v>198.22</v>
      </c>
      <c r="G227" s="5">
        <v>474.43709999999999</v>
      </c>
      <c r="H227" s="5">
        <v>752.98400000000004</v>
      </c>
      <c r="I227" s="5">
        <v>1784.92</v>
      </c>
      <c r="J227" s="5">
        <v>424.3657</v>
      </c>
      <c r="K227" s="5">
        <v>1844.51</v>
      </c>
      <c r="L227" s="5">
        <v>2295.11</v>
      </c>
      <c r="M227" s="5">
        <v>2358.5500000000002</v>
      </c>
      <c r="N227" s="5">
        <v>2180.11</v>
      </c>
      <c r="O227" s="5">
        <v>2404.92</v>
      </c>
      <c r="P227" s="5">
        <v>1341.22</v>
      </c>
      <c r="Q227" s="5">
        <v>594.02</v>
      </c>
      <c r="R227" s="5">
        <v>1365.68</v>
      </c>
      <c r="S227" s="5">
        <v>1298.72</v>
      </c>
      <c r="T227" s="5">
        <v>331.93</v>
      </c>
      <c r="U227" s="5">
        <v>1079.44</v>
      </c>
      <c r="V227" s="5">
        <v>4503.1985999999997</v>
      </c>
      <c r="W227" s="5">
        <v>11863.580099999999</v>
      </c>
      <c r="X227" s="5">
        <v>15371.066199999999</v>
      </c>
      <c r="Y227" s="5">
        <v>8833.8919999999998</v>
      </c>
      <c r="Z227" s="5">
        <v>14262.293900000001</v>
      </c>
      <c r="AA227" s="5">
        <v>3892.19</v>
      </c>
      <c r="AB227" s="5">
        <v>35877.629999999997</v>
      </c>
      <c r="AC227" s="5">
        <v>1696.85</v>
      </c>
      <c r="AD227" s="5">
        <v>297.64069999999998</v>
      </c>
    </row>
    <row r="228" spans="5:30" ht="15">
      <c r="E228" s="9">
        <v>40998</v>
      </c>
      <c r="F228" s="5">
        <v>198.24</v>
      </c>
      <c r="G228" s="5">
        <v>474.13150000000002</v>
      </c>
      <c r="H228" s="5">
        <v>745.64729999999997</v>
      </c>
      <c r="I228" s="5">
        <v>1775.14</v>
      </c>
      <c r="J228" s="5">
        <v>423.7516</v>
      </c>
      <c r="K228" s="5">
        <v>1845.71</v>
      </c>
      <c r="L228" s="5">
        <v>2272.94</v>
      </c>
      <c r="M228" s="5">
        <v>2323.46</v>
      </c>
      <c r="N228" s="5">
        <v>2182.9699999999998</v>
      </c>
      <c r="O228" s="5">
        <v>2365.0100000000002</v>
      </c>
      <c r="P228" s="5">
        <v>1339.35</v>
      </c>
      <c r="Q228" s="5">
        <v>594.58000000000004</v>
      </c>
      <c r="R228" s="5">
        <v>1408.47</v>
      </c>
      <c r="S228" s="5">
        <v>1312.01</v>
      </c>
      <c r="T228" s="5">
        <v>333.3</v>
      </c>
      <c r="U228" s="5">
        <v>1041.45</v>
      </c>
      <c r="V228" s="5">
        <v>4509.3872000000001</v>
      </c>
      <c r="W228" s="5">
        <v>11910.4274</v>
      </c>
      <c r="X228" s="5">
        <v>15371.8802</v>
      </c>
      <c r="Y228" s="5">
        <v>8879.4408000000003</v>
      </c>
      <c r="Z228" s="5">
        <v>14074.2376</v>
      </c>
      <c r="AA228" s="5">
        <v>4063.87</v>
      </c>
      <c r="AB228" s="5">
        <v>37651.730000000003</v>
      </c>
      <c r="AC228" s="5">
        <v>1668.35</v>
      </c>
      <c r="AD228" s="5">
        <v>285.32870000000003</v>
      </c>
    </row>
    <row r="229" spans="5:30" ht="15">
      <c r="E229" s="9">
        <v>41029</v>
      </c>
      <c r="F229" s="5">
        <v>198.25</v>
      </c>
      <c r="G229" s="5">
        <v>475.13679999999999</v>
      </c>
      <c r="H229" s="5">
        <v>756.2645</v>
      </c>
      <c r="I229" s="5">
        <v>1794.82</v>
      </c>
      <c r="J229" s="5">
        <v>426.39249999999998</v>
      </c>
      <c r="K229" s="5">
        <v>1857.68</v>
      </c>
      <c r="L229" s="5">
        <v>2304.67</v>
      </c>
      <c r="M229" s="5">
        <v>2358.3200000000002</v>
      </c>
      <c r="N229" s="5">
        <v>2205.4899999999998</v>
      </c>
      <c r="O229" s="5">
        <v>2412.1999999999998</v>
      </c>
      <c r="P229" s="5">
        <v>1353.37</v>
      </c>
      <c r="Q229" s="5">
        <v>605.02</v>
      </c>
      <c r="R229" s="5">
        <v>1397.91</v>
      </c>
      <c r="S229" s="5">
        <v>1293.99</v>
      </c>
      <c r="T229" s="5">
        <v>328.67</v>
      </c>
      <c r="U229" s="5">
        <v>1026.02</v>
      </c>
      <c r="V229" s="5">
        <v>4496.6950999999999</v>
      </c>
      <c r="W229" s="5">
        <v>11870.8966</v>
      </c>
      <c r="X229" s="5">
        <v>15246.016799999999</v>
      </c>
      <c r="Y229" s="5">
        <v>8905.2674000000006</v>
      </c>
      <c r="Z229" s="5">
        <v>13992.7004</v>
      </c>
      <c r="AA229" s="5">
        <v>4175.8100000000004</v>
      </c>
      <c r="AB229" s="5">
        <v>37112.78</v>
      </c>
      <c r="AC229" s="5">
        <v>1664.75</v>
      </c>
      <c r="AD229" s="5">
        <v>284.12110000000001</v>
      </c>
    </row>
    <row r="230" spans="5:30" ht="15">
      <c r="E230" s="9">
        <v>41060</v>
      </c>
      <c r="F230" s="5">
        <v>198.29</v>
      </c>
      <c r="G230" s="5">
        <v>475.37380000000002</v>
      </c>
      <c r="H230" s="5">
        <v>768.95920000000001</v>
      </c>
      <c r="I230" s="5">
        <v>1811.06</v>
      </c>
      <c r="J230" s="5">
        <v>430.83109999999999</v>
      </c>
      <c r="K230" s="5">
        <v>1863.56</v>
      </c>
      <c r="L230" s="5">
        <v>2322.06</v>
      </c>
      <c r="M230" s="5">
        <v>2381.88</v>
      </c>
      <c r="N230" s="5">
        <v>2205.0300000000002</v>
      </c>
      <c r="O230" s="5">
        <v>2457.9</v>
      </c>
      <c r="P230" s="5">
        <v>1335.7</v>
      </c>
      <c r="Q230" s="5">
        <v>588.25</v>
      </c>
      <c r="R230" s="5">
        <v>1310.33</v>
      </c>
      <c r="S230" s="5">
        <v>1177.6400000000001</v>
      </c>
      <c r="T230" s="5">
        <v>297.98</v>
      </c>
      <c r="U230" s="5">
        <v>906.3</v>
      </c>
      <c r="V230" s="5">
        <v>4443.1806999999999</v>
      </c>
      <c r="W230" s="5">
        <v>11594.296200000001</v>
      </c>
      <c r="X230" s="5">
        <v>14527.506799999999</v>
      </c>
      <c r="Y230" s="5">
        <v>8811.3685000000005</v>
      </c>
      <c r="Z230" s="5">
        <v>14049.182500000001</v>
      </c>
      <c r="AA230" s="5">
        <v>4012.72</v>
      </c>
      <c r="AB230" s="5">
        <v>34840.17</v>
      </c>
      <c r="AC230" s="5">
        <v>1560.42</v>
      </c>
      <c r="AD230" s="5">
        <v>258.17520000000002</v>
      </c>
    </row>
    <row r="231" spans="5:30" ht="15">
      <c r="E231" s="9">
        <v>41089</v>
      </c>
      <c r="F231" s="5">
        <v>198.3</v>
      </c>
      <c r="G231" s="5">
        <v>475.07479999999998</v>
      </c>
      <c r="H231" s="5">
        <v>766.41160000000002</v>
      </c>
      <c r="I231" s="5">
        <v>1811.77</v>
      </c>
      <c r="J231" s="5">
        <v>430.12450000000001</v>
      </c>
      <c r="K231" s="5">
        <v>1865.72</v>
      </c>
      <c r="L231" s="5">
        <v>2330.3000000000002</v>
      </c>
      <c r="M231" s="5">
        <v>2385.6</v>
      </c>
      <c r="N231" s="5">
        <v>2225.19</v>
      </c>
      <c r="O231" s="5">
        <v>2451.5</v>
      </c>
      <c r="P231" s="5">
        <v>1363.9</v>
      </c>
      <c r="Q231" s="5">
        <v>609.24</v>
      </c>
      <c r="R231" s="5">
        <v>1362.16</v>
      </c>
      <c r="S231" s="5">
        <v>1235.72</v>
      </c>
      <c r="T231" s="5">
        <v>312.11</v>
      </c>
      <c r="U231" s="5">
        <v>937.35</v>
      </c>
      <c r="V231" s="5">
        <v>4425.1382999999996</v>
      </c>
      <c r="W231" s="5">
        <v>11615.0216</v>
      </c>
      <c r="X231" s="5">
        <v>14661.4244</v>
      </c>
      <c r="Y231" s="5">
        <v>8889.1389999999992</v>
      </c>
      <c r="Z231" s="5">
        <v>13849.6605</v>
      </c>
      <c r="AA231" s="5">
        <v>4244.87</v>
      </c>
      <c r="AB231" s="5">
        <v>36841.61</v>
      </c>
      <c r="AC231" s="5">
        <v>1597.4</v>
      </c>
      <c r="AD231" s="5">
        <v>272.35669999999999</v>
      </c>
    </row>
    <row r="232" spans="5:30" ht="15">
      <c r="E232" s="9">
        <v>41121</v>
      </c>
      <c r="F232" s="5">
        <v>198.33</v>
      </c>
      <c r="G232" s="5">
        <v>476.19880000000001</v>
      </c>
      <c r="H232" s="5">
        <v>773.96</v>
      </c>
      <c r="I232" s="5">
        <v>1836.76</v>
      </c>
      <c r="J232" s="5">
        <v>435.95339999999999</v>
      </c>
      <c r="K232" s="5">
        <v>1880.71</v>
      </c>
      <c r="L232" s="5">
        <v>2397.35</v>
      </c>
      <c r="M232" s="5">
        <v>2455.94</v>
      </c>
      <c r="N232" s="5">
        <v>2284.63</v>
      </c>
      <c r="O232" s="5">
        <v>2527.87</v>
      </c>
      <c r="P232" s="5">
        <v>1389.85</v>
      </c>
      <c r="Q232" s="5">
        <v>633.63</v>
      </c>
      <c r="R232" s="5">
        <v>1379.32</v>
      </c>
      <c r="S232" s="5">
        <v>1250.57</v>
      </c>
      <c r="T232" s="5">
        <v>316.02</v>
      </c>
      <c r="U232" s="5">
        <v>952.49</v>
      </c>
      <c r="V232" s="5">
        <v>4465.0783000000001</v>
      </c>
      <c r="W232" s="5">
        <v>11669.1988</v>
      </c>
      <c r="X232" s="5">
        <v>14701.795899999999</v>
      </c>
      <c r="Y232" s="5">
        <v>8995.9539999999997</v>
      </c>
      <c r="Z232" s="5">
        <v>14127.8858</v>
      </c>
      <c r="AA232" s="5">
        <v>4345.05</v>
      </c>
      <c r="AB232" s="5">
        <v>36532.97</v>
      </c>
      <c r="AC232" s="5">
        <v>1614.3</v>
      </c>
      <c r="AD232" s="5">
        <v>289.9744</v>
      </c>
    </row>
    <row r="233" spans="5:30" ht="15">
      <c r="E233" s="9">
        <v>41152</v>
      </c>
      <c r="F233" s="5">
        <v>198.36</v>
      </c>
      <c r="G233" s="5">
        <v>476.24059999999997</v>
      </c>
      <c r="H233" s="5">
        <v>773.03309999999999</v>
      </c>
      <c r="I233" s="5">
        <v>1837.96</v>
      </c>
      <c r="J233" s="5">
        <v>436.9889</v>
      </c>
      <c r="K233" s="5">
        <v>1882.83</v>
      </c>
      <c r="L233" s="5">
        <v>2402.6799999999998</v>
      </c>
      <c r="M233" s="5">
        <v>2451.83</v>
      </c>
      <c r="N233" s="5">
        <v>2307.4299999999998</v>
      </c>
      <c r="O233" s="5">
        <v>2527.09</v>
      </c>
      <c r="P233" s="5">
        <v>1406.12</v>
      </c>
      <c r="Q233" s="5">
        <v>640.98</v>
      </c>
      <c r="R233" s="5">
        <v>1406.58</v>
      </c>
      <c r="S233" s="5">
        <v>1279.21</v>
      </c>
      <c r="T233" s="5">
        <v>322.14</v>
      </c>
      <c r="U233" s="5">
        <v>947.33</v>
      </c>
      <c r="V233" s="5">
        <v>4494.549</v>
      </c>
      <c r="W233" s="5">
        <v>11801.7955</v>
      </c>
      <c r="X233" s="5">
        <v>14874.9617</v>
      </c>
      <c r="Y233" s="5">
        <v>9090.7000000000007</v>
      </c>
      <c r="Z233" s="5">
        <v>14095.6423</v>
      </c>
      <c r="AA233" s="5">
        <v>4356.42</v>
      </c>
      <c r="AB233" s="5">
        <v>37522.199999999997</v>
      </c>
      <c r="AC233" s="5">
        <v>1692.01</v>
      </c>
      <c r="AD233" s="5">
        <v>293.73930000000001</v>
      </c>
    </row>
    <row r="234" spans="5:30" ht="15">
      <c r="E234" s="9">
        <v>41180</v>
      </c>
      <c r="F234" s="5">
        <v>198.38</v>
      </c>
      <c r="G234" s="5">
        <v>476.29700000000003</v>
      </c>
      <c r="H234" s="5">
        <v>770.63490000000002</v>
      </c>
      <c r="I234" s="5">
        <v>1840.49</v>
      </c>
      <c r="J234" s="5">
        <v>438.72120000000001</v>
      </c>
      <c r="K234" s="5">
        <v>1886.74</v>
      </c>
      <c r="L234" s="5">
        <v>2419.5500000000002</v>
      </c>
      <c r="M234" s="5">
        <v>2463.36</v>
      </c>
      <c r="N234" s="5">
        <v>2337.6</v>
      </c>
      <c r="O234" s="5">
        <v>2530.6999999999998</v>
      </c>
      <c r="P234" s="5">
        <v>1425.69</v>
      </c>
      <c r="Q234" s="5">
        <v>650.41999999999996</v>
      </c>
      <c r="R234" s="5">
        <v>1440.67</v>
      </c>
      <c r="S234" s="5">
        <v>1311.5</v>
      </c>
      <c r="T234" s="5">
        <v>331.58</v>
      </c>
      <c r="U234" s="5">
        <v>1002.66</v>
      </c>
      <c r="V234" s="5">
        <v>4523.9377999999997</v>
      </c>
      <c r="W234" s="5">
        <v>11952.3032</v>
      </c>
      <c r="X234" s="5">
        <v>15166.7996</v>
      </c>
      <c r="Y234" s="5">
        <v>9210.0715999999993</v>
      </c>
      <c r="Z234" s="5">
        <v>14091.388800000001</v>
      </c>
      <c r="AA234" s="5">
        <v>4320.99</v>
      </c>
      <c r="AB234" s="5">
        <v>39318.21</v>
      </c>
      <c r="AC234" s="5">
        <v>1772.1</v>
      </c>
      <c r="AD234" s="5">
        <v>298.74919999999997</v>
      </c>
    </row>
    <row r="235" spans="5:30" ht="15">
      <c r="E235" s="9">
        <v>41213</v>
      </c>
      <c r="F235" s="5">
        <v>198.39</v>
      </c>
      <c r="G235" s="5">
        <v>476.0369</v>
      </c>
      <c r="H235" s="5">
        <v>769.40409999999997</v>
      </c>
      <c r="I235" s="5">
        <v>1844.11</v>
      </c>
      <c r="J235" s="5">
        <v>439.95940000000002</v>
      </c>
      <c r="K235" s="5">
        <v>1883.58</v>
      </c>
      <c r="L235" s="5">
        <v>2450.71</v>
      </c>
      <c r="M235" s="5">
        <v>2494.42</v>
      </c>
      <c r="N235" s="5">
        <v>2367</v>
      </c>
      <c r="O235" s="5">
        <v>2569.0100000000002</v>
      </c>
      <c r="P235" s="5">
        <v>1438.21</v>
      </c>
      <c r="Q235" s="5">
        <v>655.73</v>
      </c>
      <c r="R235" s="5">
        <v>1412.16</v>
      </c>
      <c r="S235" s="5">
        <v>1301.52</v>
      </c>
      <c r="T235" s="5">
        <v>329.07</v>
      </c>
      <c r="U235" s="5">
        <v>995.33</v>
      </c>
      <c r="V235" s="5">
        <v>4514.5221000000001</v>
      </c>
      <c r="W235" s="5">
        <v>12004.1345</v>
      </c>
      <c r="X235" s="5">
        <v>15129.0996</v>
      </c>
      <c r="Y235" s="5">
        <v>9269.759</v>
      </c>
      <c r="Z235" s="5">
        <v>13832.4846</v>
      </c>
      <c r="AA235" s="5">
        <v>4302.37</v>
      </c>
      <c r="AB235" s="5">
        <v>38166.14</v>
      </c>
      <c r="AC235" s="5">
        <v>1720.65</v>
      </c>
      <c r="AD235" s="5">
        <v>287.17899999999997</v>
      </c>
    </row>
    <row r="236" spans="5:30" ht="15">
      <c r="E236" s="9">
        <v>41243</v>
      </c>
      <c r="F236" s="5">
        <v>198.43</v>
      </c>
      <c r="G236" s="5">
        <v>476.43939999999998</v>
      </c>
      <c r="H236" s="5">
        <v>773.26819999999998</v>
      </c>
      <c r="I236" s="5">
        <v>1847.02</v>
      </c>
      <c r="J236" s="5">
        <v>442.17739999999998</v>
      </c>
      <c r="K236" s="5">
        <v>1880.34</v>
      </c>
      <c r="L236" s="5">
        <v>2446.81</v>
      </c>
      <c r="M236" s="5">
        <v>2483.4699999999998</v>
      </c>
      <c r="N236" s="5">
        <v>2376.52</v>
      </c>
      <c r="O236" s="5">
        <v>2559.4499999999998</v>
      </c>
      <c r="P236" s="5">
        <v>1449.72</v>
      </c>
      <c r="Q236" s="5">
        <v>665.91</v>
      </c>
      <c r="R236" s="5">
        <v>1416.18</v>
      </c>
      <c r="S236" s="5">
        <v>1315.49</v>
      </c>
      <c r="T236" s="5">
        <v>332.64</v>
      </c>
      <c r="U236" s="5">
        <v>1007.02</v>
      </c>
      <c r="V236" s="5">
        <v>4534.9210999999996</v>
      </c>
      <c r="W236" s="5">
        <v>12126.9905</v>
      </c>
      <c r="X236" s="5">
        <v>15197.2258</v>
      </c>
      <c r="Y236" s="5">
        <v>9321.7603999999992</v>
      </c>
      <c r="Z236" s="5">
        <v>13823.5672</v>
      </c>
      <c r="AA236" s="5">
        <v>4275.74</v>
      </c>
      <c r="AB236" s="5">
        <v>37943.58</v>
      </c>
      <c r="AC236" s="5">
        <v>1714.8</v>
      </c>
      <c r="AD236" s="5">
        <v>287.3272</v>
      </c>
    </row>
    <row r="237" spans="5:30" ht="15">
      <c r="E237" s="9">
        <v>41274</v>
      </c>
      <c r="F237" s="5">
        <v>198.46</v>
      </c>
      <c r="G237" s="5">
        <v>476.596</v>
      </c>
      <c r="H237" s="5">
        <v>770.12199999999996</v>
      </c>
      <c r="I237" s="5">
        <v>1844.39</v>
      </c>
      <c r="J237" s="5">
        <v>442.6318</v>
      </c>
      <c r="K237" s="5">
        <v>1882.91</v>
      </c>
      <c r="L237" s="5">
        <v>2445.25</v>
      </c>
      <c r="M237" s="5">
        <v>2480.13</v>
      </c>
      <c r="N237" s="5">
        <v>2381.96</v>
      </c>
      <c r="O237" s="5">
        <v>2545.06</v>
      </c>
      <c r="P237" s="5">
        <v>1472.56</v>
      </c>
      <c r="Q237" s="5">
        <v>672.1</v>
      </c>
      <c r="R237" s="5">
        <v>1426.19</v>
      </c>
      <c r="S237" s="5">
        <v>1338.5</v>
      </c>
      <c r="T237" s="5">
        <v>339.75</v>
      </c>
      <c r="U237" s="5">
        <v>1055.2</v>
      </c>
      <c r="V237" s="5">
        <v>4586.0747000000001</v>
      </c>
      <c r="W237" s="5">
        <v>12367.9733</v>
      </c>
      <c r="X237" s="5">
        <v>15445.9293</v>
      </c>
      <c r="Y237" s="5">
        <v>9431.3611000000001</v>
      </c>
      <c r="Z237" s="5">
        <v>13964.716700000001</v>
      </c>
      <c r="AA237" s="5">
        <v>4408.71</v>
      </c>
      <c r="AB237" s="5">
        <v>38578.800000000003</v>
      </c>
      <c r="AC237" s="5">
        <v>1675.35</v>
      </c>
      <c r="AD237" s="5">
        <v>279.83620000000002</v>
      </c>
    </row>
    <row r="238" spans="5:30" ht="15">
      <c r="E238" s="9">
        <v>41305</v>
      </c>
      <c r="F238" s="5">
        <v>198.48</v>
      </c>
      <c r="G238" s="5">
        <v>476.66919999999999</v>
      </c>
      <c r="H238" s="5">
        <v>764.04949999999997</v>
      </c>
      <c r="I238" s="5">
        <v>1831.49</v>
      </c>
      <c r="J238" s="5">
        <v>440.20499999999998</v>
      </c>
      <c r="K238" s="5">
        <v>1873.49</v>
      </c>
      <c r="L238" s="5">
        <v>2423.5</v>
      </c>
      <c r="M238" s="5">
        <v>2448.75</v>
      </c>
      <c r="N238" s="5">
        <v>2377.5</v>
      </c>
      <c r="O238" s="5">
        <v>2518.77</v>
      </c>
      <c r="P238" s="5">
        <v>1492.3</v>
      </c>
      <c r="Q238" s="5">
        <v>662.54</v>
      </c>
      <c r="R238" s="5">
        <v>1498.11</v>
      </c>
      <c r="S238" s="5">
        <v>1405.47</v>
      </c>
      <c r="T238" s="5">
        <v>355.1</v>
      </c>
      <c r="U238" s="5">
        <v>1069.01</v>
      </c>
      <c r="V238" s="5">
        <v>4680.1813000000002</v>
      </c>
      <c r="W238" s="5">
        <v>12650.9735</v>
      </c>
      <c r="X238" s="5">
        <v>15961.294599999999</v>
      </c>
      <c r="Y238" s="5">
        <v>9598.2101000000002</v>
      </c>
      <c r="Z238" s="5">
        <v>14177.955</v>
      </c>
      <c r="AA238" s="5">
        <v>4597.8500000000004</v>
      </c>
      <c r="AB238" s="5">
        <v>41623.11</v>
      </c>
      <c r="AC238" s="5">
        <v>1663.65</v>
      </c>
      <c r="AD238" s="5">
        <v>286.5446</v>
      </c>
    </row>
    <row r="239" spans="5:30" ht="15">
      <c r="E239" s="9">
        <v>41333</v>
      </c>
      <c r="F239" s="5">
        <v>198.48</v>
      </c>
      <c r="G239" s="5">
        <v>477.0643</v>
      </c>
      <c r="H239" s="5">
        <v>767.96960000000001</v>
      </c>
      <c r="I239" s="5">
        <v>1840.67</v>
      </c>
      <c r="J239" s="5">
        <v>442.87419999999997</v>
      </c>
      <c r="K239" s="5">
        <v>1879.84</v>
      </c>
      <c r="L239" s="5">
        <v>2442.16</v>
      </c>
      <c r="M239" s="5">
        <v>2463.66</v>
      </c>
      <c r="N239" s="5">
        <v>2399.44</v>
      </c>
      <c r="O239" s="5">
        <v>2547.44</v>
      </c>
      <c r="P239" s="5">
        <v>1499.88</v>
      </c>
      <c r="Q239" s="5">
        <v>661.6</v>
      </c>
      <c r="R239" s="5">
        <v>1514.68</v>
      </c>
      <c r="S239" s="5">
        <v>1405.18</v>
      </c>
      <c r="T239" s="5">
        <v>354.43</v>
      </c>
      <c r="U239" s="5">
        <v>1054.6199999999999</v>
      </c>
      <c r="V239" s="5">
        <v>4692.4615000000003</v>
      </c>
      <c r="W239" s="5">
        <v>12697.0478</v>
      </c>
      <c r="X239" s="5">
        <v>16011.8104</v>
      </c>
      <c r="Y239" s="5">
        <v>9635.4428000000007</v>
      </c>
      <c r="Z239" s="5">
        <v>14081.665999999999</v>
      </c>
      <c r="AA239" s="5">
        <v>4657.0200000000004</v>
      </c>
      <c r="AB239" s="5">
        <v>41937.589999999997</v>
      </c>
      <c r="AC239" s="5">
        <v>1579.58</v>
      </c>
      <c r="AD239" s="5">
        <v>274.83409999999998</v>
      </c>
    </row>
    <row r="240" spans="5:30" ht="15">
      <c r="E240" s="9">
        <v>41362</v>
      </c>
      <c r="F240" s="5">
        <v>198.51</v>
      </c>
      <c r="G240" s="5">
        <v>477.15960000000001</v>
      </c>
      <c r="H240" s="5">
        <v>768.70540000000005</v>
      </c>
      <c r="I240" s="5">
        <v>1842.14</v>
      </c>
      <c r="J240" s="5">
        <v>445.16309999999999</v>
      </c>
      <c r="K240" s="5">
        <v>1882.03</v>
      </c>
      <c r="L240" s="5">
        <v>2442.63</v>
      </c>
      <c r="M240" s="5">
        <v>2463.09</v>
      </c>
      <c r="N240" s="5">
        <v>2402.87</v>
      </c>
      <c r="O240" s="5">
        <v>2543.94</v>
      </c>
      <c r="P240" s="5">
        <v>1515.15</v>
      </c>
      <c r="Q240" s="5">
        <v>656.62</v>
      </c>
      <c r="R240" s="5">
        <v>1569.19</v>
      </c>
      <c r="S240" s="5">
        <v>1434.51</v>
      </c>
      <c r="T240" s="5">
        <v>360.06</v>
      </c>
      <c r="U240" s="5">
        <v>1034.9000000000001</v>
      </c>
      <c r="V240" s="5">
        <v>4736.1889000000001</v>
      </c>
      <c r="W240" s="5">
        <v>12824.6302</v>
      </c>
      <c r="X240" s="5">
        <v>16207.5242</v>
      </c>
      <c r="Y240" s="5">
        <v>9720.5164999999997</v>
      </c>
      <c r="Z240" s="5">
        <v>14139.034299999999</v>
      </c>
      <c r="AA240" s="5">
        <v>4809.9799999999996</v>
      </c>
      <c r="AB240" s="5">
        <v>44375.48</v>
      </c>
      <c r="AC240" s="5">
        <v>1598.75</v>
      </c>
      <c r="AD240" s="5">
        <v>276.68599999999998</v>
      </c>
    </row>
    <row r="241" spans="5:30" ht="15">
      <c r="E241" s="9">
        <v>41394</v>
      </c>
      <c r="F241" s="5">
        <v>198.54</v>
      </c>
      <c r="G241" s="5">
        <v>477.63330000000002</v>
      </c>
      <c r="H241" s="5">
        <v>775.39869999999996</v>
      </c>
      <c r="I241" s="5">
        <v>1860.78</v>
      </c>
      <c r="J241" s="5">
        <v>450.048</v>
      </c>
      <c r="K241" s="5">
        <v>1892.04</v>
      </c>
      <c r="L241" s="5">
        <v>2487.23</v>
      </c>
      <c r="M241" s="5">
        <v>2511.6999999999998</v>
      </c>
      <c r="N241" s="5">
        <v>2435.5100000000002</v>
      </c>
      <c r="O241" s="5">
        <v>2607.39</v>
      </c>
      <c r="P241" s="5">
        <v>1542.56</v>
      </c>
      <c r="Q241" s="5">
        <v>675.23</v>
      </c>
      <c r="R241" s="5">
        <v>1597.57</v>
      </c>
      <c r="S241" s="5">
        <v>1476.14</v>
      </c>
      <c r="T241" s="5">
        <v>369.42</v>
      </c>
      <c r="U241" s="5">
        <v>1039.45</v>
      </c>
      <c r="V241" s="5">
        <v>4776.9083000000001</v>
      </c>
      <c r="W241" s="5">
        <v>12951.8361</v>
      </c>
      <c r="X241" s="5">
        <v>16266.813</v>
      </c>
      <c r="Y241" s="5">
        <v>9823.9704999999994</v>
      </c>
      <c r="Z241" s="5">
        <v>14231.3532</v>
      </c>
      <c r="AA241" s="5">
        <v>5084.8429999999998</v>
      </c>
      <c r="AB241" s="5">
        <v>44380.56</v>
      </c>
      <c r="AC241" s="5">
        <v>1476.75</v>
      </c>
      <c r="AD241" s="5">
        <v>268.96370000000002</v>
      </c>
    </row>
    <row r="242" spans="5:30" ht="15">
      <c r="E242" s="9">
        <v>41425</v>
      </c>
      <c r="F242" s="5">
        <v>198.56</v>
      </c>
      <c r="G242" s="5">
        <v>476.97919999999999</v>
      </c>
      <c r="H242" s="5">
        <v>762.33420000000001</v>
      </c>
      <c r="I242" s="5">
        <v>1827.58</v>
      </c>
      <c r="J242" s="5">
        <v>443.63409999999999</v>
      </c>
      <c r="K242" s="5">
        <v>1863.03</v>
      </c>
      <c r="L242" s="5">
        <v>2428.94</v>
      </c>
      <c r="M242" s="5">
        <v>2448.0100000000002</v>
      </c>
      <c r="N242" s="5">
        <v>2394.79</v>
      </c>
      <c r="O242" s="5">
        <v>2518.9699999999998</v>
      </c>
      <c r="P242" s="5">
        <v>1533.62</v>
      </c>
      <c r="Q242" s="5">
        <v>649.5</v>
      </c>
      <c r="R242" s="5">
        <v>1630.74</v>
      </c>
      <c r="S242" s="5">
        <v>1471.93</v>
      </c>
      <c r="T242" s="5">
        <v>367.19</v>
      </c>
      <c r="U242" s="5">
        <v>1008.88</v>
      </c>
      <c r="V242" s="5">
        <v>4806.3220000000001</v>
      </c>
      <c r="W242" s="5">
        <v>13190.180700000001</v>
      </c>
      <c r="X242" s="5">
        <v>16465.838</v>
      </c>
      <c r="Y242" s="5">
        <v>9830.1088</v>
      </c>
      <c r="Z242" s="5">
        <v>14053.3143</v>
      </c>
      <c r="AA242" s="5">
        <v>4747.973</v>
      </c>
      <c r="AB242" s="5">
        <v>46168.77</v>
      </c>
      <c r="AC242" s="5">
        <v>1387.92</v>
      </c>
      <c r="AD242" s="5">
        <v>262.9314</v>
      </c>
    </row>
    <row r="243" spans="5:30" ht="15">
      <c r="E243" s="9">
        <v>41453</v>
      </c>
      <c r="F243" s="5">
        <v>198.57</v>
      </c>
      <c r="G243" s="5">
        <v>476.74160000000001</v>
      </c>
      <c r="H243" s="5">
        <v>754.48289999999997</v>
      </c>
      <c r="I243" s="5">
        <v>1799.31</v>
      </c>
      <c r="J243" s="5">
        <v>437.45960000000002</v>
      </c>
      <c r="K243" s="5">
        <v>1845.11</v>
      </c>
      <c r="L243" s="5">
        <v>2361.89</v>
      </c>
      <c r="M243" s="5">
        <v>2377.4</v>
      </c>
      <c r="N243" s="5">
        <v>2336.0500000000002</v>
      </c>
      <c r="O243" s="5">
        <v>2442.3200000000002</v>
      </c>
      <c r="P243" s="5">
        <v>1493.4</v>
      </c>
      <c r="Q243" s="5">
        <v>616.82000000000005</v>
      </c>
      <c r="R243" s="5">
        <v>1606.28</v>
      </c>
      <c r="S243" s="5">
        <v>1433.55</v>
      </c>
      <c r="T243" s="5">
        <v>355.81</v>
      </c>
      <c r="U243" s="5">
        <v>940.33</v>
      </c>
      <c r="V243" s="5">
        <v>4743.1795000000002</v>
      </c>
      <c r="W243" s="5">
        <v>13053.948899999999</v>
      </c>
      <c r="X243" s="5">
        <v>16196.609899999999</v>
      </c>
      <c r="Y243" s="5">
        <v>9712.7391000000007</v>
      </c>
      <c r="Z243" s="5">
        <v>13832.831399999999</v>
      </c>
      <c r="AA243" s="5">
        <v>4636.2640000000001</v>
      </c>
      <c r="AB243" s="5">
        <v>46605.53</v>
      </c>
      <c r="AC243" s="5">
        <v>1234.57</v>
      </c>
      <c r="AD243" s="5">
        <v>250.53530000000001</v>
      </c>
    </row>
    <row r="244" spans="5:30" ht="15">
      <c r="E244" s="9">
        <v>41486</v>
      </c>
      <c r="F244" s="5">
        <v>198.59</v>
      </c>
      <c r="G244" s="5">
        <v>477.45890000000003</v>
      </c>
      <c r="H244" s="5">
        <v>753.61980000000005</v>
      </c>
      <c r="I244" s="5">
        <v>1801.77</v>
      </c>
      <c r="J244" s="5">
        <v>439.19229999999999</v>
      </c>
      <c r="K244" s="5">
        <v>1843.45</v>
      </c>
      <c r="L244" s="5">
        <v>2381.5700000000002</v>
      </c>
      <c r="M244" s="5">
        <v>2394.36</v>
      </c>
      <c r="N244" s="5">
        <v>2359.65</v>
      </c>
      <c r="O244" s="5">
        <v>2464.94</v>
      </c>
      <c r="P244" s="5">
        <v>1521.71</v>
      </c>
      <c r="Q244" s="5">
        <v>622.67999999999995</v>
      </c>
      <c r="R244" s="5">
        <v>1685.73</v>
      </c>
      <c r="S244" s="5">
        <v>1507.91</v>
      </c>
      <c r="T244" s="5">
        <v>372.49</v>
      </c>
      <c r="U244" s="5">
        <v>947.55</v>
      </c>
      <c r="V244" s="5">
        <v>4786.7650999999996</v>
      </c>
      <c r="W244" s="5">
        <v>13235.659600000001</v>
      </c>
      <c r="X244" s="5">
        <v>16563.705600000001</v>
      </c>
      <c r="Y244" s="5">
        <v>9768.5599000000002</v>
      </c>
      <c r="Z244" s="5">
        <v>13825.0689</v>
      </c>
      <c r="AA244" s="5">
        <v>4662.2780000000002</v>
      </c>
      <c r="AB244" s="5">
        <v>49955.01</v>
      </c>
      <c r="AC244" s="5">
        <v>1325.25</v>
      </c>
      <c r="AD244" s="5">
        <v>253.9487</v>
      </c>
    </row>
    <row r="245" spans="5:30" ht="15">
      <c r="E245" s="9">
        <v>41516</v>
      </c>
      <c r="F245" s="5">
        <v>198.61</v>
      </c>
      <c r="G245" s="5">
        <v>477.02519999999998</v>
      </c>
      <c r="H245" s="5">
        <v>750.11620000000005</v>
      </c>
      <c r="I245" s="5">
        <v>1792.56</v>
      </c>
      <c r="J245" s="5">
        <v>437.52480000000003</v>
      </c>
      <c r="K245" s="5">
        <v>1838.18</v>
      </c>
      <c r="L245" s="5">
        <v>2364.84</v>
      </c>
      <c r="M245" s="5">
        <v>2375.27</v>
      </c>
      <c r="N245" s="5">
        <v>2348.7800000000002</v>
      </c>
      <c r="O245" s="5">
        <v>2441.6799999999998</v>
      </c>
      <c r="P245" s="5">
        <v>1512.46</v>
      </c>
      <c r="Q245" s="5">
        <v>605.99</v>
      </c>
      <c r="R245" s="5">
        <v>1632.97</v>
      </c>
      <c r="S245" s="5">
        <v>1472.74</v>
      </c>
      <c r="T245" s="5">
        <v>363.98</v>
      </c>
      <c r="U245" s="5">
        <v>929.54</v>
      </c>
      <c r="V245" s="5">
        <v>4753.4337999999998</v>
      </c>
      <c r="W245" s="5">
        <v>13203.915800000001</v>
      </c>
      <c r="X245" s="5">
        <v>16423.165300000001</v>
      </c>
      <c r="Y245" s="5">
        <v>9757.4068000000007</v>
      </c>
      <c r="Z245" s="5">
        <v>13675.416999999999</v>
      </c>
      <c r="AA245" s="5">
        <v>4367.0259999999998</v>
      </c>
      <c r="AB245" s="5">
        <v>48614.22</v>
      </c>
      <c r="AC245" s="5">
        <v>1395.15</v>
      </c>
      <c r="AD245" s="5">
        <v>262.58879999999999</v>
      </c>
    </row>
    <row r="246" spans="5:30" ht="15">
      <c r="E246" s="9">
        <v>41547</v>
      </c>
      <c r="F246" s="5">
        <v>198.63</v>
      </c>
      <c r="G246" s="5">
        <v>478.04480000000001</v>
      </c>
      <c r="H246" s="5">
        <v>755.11099999999999</v>
      </c>
      <c r="I246" s="5">
        <v>1809.53</v>
      </c>
      <c r="J246" s="5">
        <v>441.07580000000002</v>
      </c>
      <c r="K246" s="5">
        <v>1864.06</v>
      </c>
      <c r="L246" s="5">
        <v>2381.27</v>
      </c>
      <c r="M246" s="5">
        <v>2390.13</v>
      </c>
      <c r="N246" s="5">
        <v>2372</v>
      </c>
      <c r="O246" s="5">
        <v>2445.7800000000002</v>
      </c>
      <c r="P246" s="5">
        <v>1527.48</v>
      </c>
      <c r="Q246" s="5">
        <v>622.16999999999996</v>
      </c>
      <c r="R246" s="5">
        <v>1681.55</v>
      </c>
      <c r="S246" s="5">
        <v>1543.67</v>
      </c>
      <c r="T246" s="5">
        <v>382.07</v>
      </c>
      <c r="U246" s="5">
        <v>987.46</v>
      </c>
      <c r="V246" s="5">
        <v>4810.9002</v>
      </c>
      <c r="W246" s="5">
        <v>13407.635200000001</v>
      </c>
      <c r="X246" s="5">
        <v>16860.582299999998</v>
      </c>
      <c r="Y246" s="5">
        <v>9864.7998000000007</v>
      </c>
      <c r="Z246" s="5">
        <v>13652.6752</v>
      </c>
      <c r="AA246" s="5">
        <v>4518.0079999999998</v>
      </c>
      <c r="AB246" s="5">
        <v>51646</v>
      </c>
      <c r="AC246" s="5">
        <v>1328.94</v>
      </c>
      <c r="AD246" s="5">
        <v>255.8818</v>
      </c>
    </row>
    <row r="247" spans="5:30" ht="15">
      <c r="E247" s="9">
        <v>41578</v>
      </c>
      <c r="F247" s="5">
        <v>198.62</v>
      </c>
      <c r="G247" s="5">
        <v>478.495</v>
      </c>
      <c r="H247" s="5">
        <v>758.63699999999994</v>
      </c>
      <c r="I247" s="5">
        <v>1824.16</v>
      </c>
      <c r="J247" s="5">
        <v>445.03919999999999</v>
      </c>
      <c r="K247" s="5">
        <v>1876.76</v>
      </c>
      <c r="L247" s="5">
        <v>2416.48</v>
      </c>
      <c r="M247" s="5">
        <v>2425.37</v>
      </c>
      <c r="N247" s="5">
        <v>2406.37</v>
      </c>
      <c r="O247" s="5">
        <v>2484.66</v>
      </c>
      <c r="P247" s="5">
        <v>1565.75</v>
      </c>
      <c r="Q247" s="5">
        <v>638.78</v>
      </c>
      <c r="R247" s="5">
        <v>1756.54</v>
      </c>
      <c r="S247" s="5">
        <v>1602.86</v>
      </c>
      <c r="T247" s="5">
        <v>397.11</v>
      </c>
      <c r="U247" s="5">
        <v>1034.42</v>
      </c>
      <c r="V247" s="5">
        <v>4869.0025999999998</v>
      </c>
      <c r="W247" s="5">
        <v>13609.580599999999</v>
      </c>
      <c r="X247" s="5">
        <v>17199.411800000002</v>
      </c>
      <c r="Y247" s="5">
        <v>9973.2973000000002</v>
      </c>
      <c r="Z247" s="5">
        <v>13765.9161</v>
      </c>
      <c r="AA247" s="5">
        <v>4698.0259999999998</v>
      </c>
      <c r="AB247" s="5">
        <v>52120.51</v>
      </c>
      <c r="AC247" s="5">
        <v>1323.1</v>
      </c>
      <c r="AD247" s="5">
        <v>252.10339999999999</v>
      </c>
    </row>
    <row r="248" spans="5:30" ht="15">
      <c r="E248" s="9">
        <v>41607</v>
      </c>
      <c r="F248" s="5">
        <v>198.62</v>
      </c>
      <c r="G248" s="5">
        <v>478.92410000000001</v>
      </c>
      <c r="H248" s="5">
        <v>756.28089999999997</v>
      </c>
      <c r="I248" s="5">
        <v>1817.33</v>
      </c>
      <c r="J248" s="5">
        <v>444.42950000000002</v>
      </c>
      <c r="K248" s="5">
        <v>1865.08</v>
      </c>
      <c r="L248" s="5">
        <v>2411.69</v>
      </c>
      <c r="M248" s="5">
        <v>2416.98</v>
      </c>
      <c r="N248" s="5">
        <v>2410.08</v>
      </c>
      <c r="O248" s="5">
        <v>2472.5500000000002</v>
      </c>
      <c r="P248" s="5">
        <v>1573.7</v>
      </c>
      <c r="Q248" s="5">
        <v>624.22</v>
      </c>
      <c r="R248" s="5">
        <v>1805.81</v>
      </c>
      <c r="S248" s="5">
        <v>1628.42</v>
      </c>
      <c r="T248" s="5">
        <v>402.05</v>
      </c>
      <c r="U248" s="5">
        <v>1018.28</v>
      </c>
      <c r="V248" s="5">
        <v>4925.5621000000001</v>
      </c>
      <c r="W248" s="5">
        <v>13750.725899999999</v>
      </c>
      <c r="X248" s="5">
        <v>17405.058700000001</v>
      </c>
      <c r="Y248" s="5">
        <v>10021.0015</v>
      </c>
      <c r="Z248" s="5">
        <v>13838.021500000001</v>
      </c>
      <c r="AA248" s="5">
        <v>4475.2650000000003</v>
      </c>
      <c r="AB248" s="5">
        <v>55174.96</v>
      </c>
      <c r="AC248" s="5">
        <v>1253.49</v>
      </c>
      <c r="AD248" s="5">
        <v>250.0857</v>
      </c>
    </row>
    <row r="249" spans="5:30" ht="15">
      <c r="E249" s="9">
        <v>41639</v>
      </c>
      <c r="F249" s="5">
        <v>198.65</v>
      </c>
      <c r="G249" s="5">
        <v>478.33629999999999</v>
      </c>
      <c r="H249" s="5">
        <v>749.68520000000001</v>
      </c>
      <c r="I249" s="5">
        <v>1807.06</v>
      </c>
      <c r="J249" s="5">
        <v>442.02809999999999</v>
      </c>
      <c r="K249" s="5">
        <v>1856.28</v>
      </c>
      <c r="L249" s="5">
        <v>2407.75</v>
      </c>
      <c r="M249" s="5">
        <v>2415.0500000000002</v>
      </c>
      <c r="N249" s="5">
        <v>2404.21</v>
      </c>
      <c r="O249" s="5">
        <v>2463.9299999999998</v>
      </c>
      <c r="P249" s="5">
        <v>1582.19</v>
      </c>
      <c r="Q249" s="5">
        <v>627.86</v>
      </c>
      <c r="R249" s="5">
        <v>1848.36</v>
      </c>
      <c r="S249" s="5">
        <v>1661.07</v>
      </c>
      <c r="T249" s="5">
        <v>408.55</v>
      </c>
      <c r="U249" s="5">
        <v>1002.69</v>
      </c>
      <c r="V249" s="5">
        <v>5000.5623999999998</v>
      </c>
      <c r="W249" s="5">
        <v>13914.8364</v>
      </c>
      <c r="X249" s="5">
        <v>17651.226999999999</v>
      </c>
      <c r="Y249" s="5">
        <v>10098.0128</v>
      </c>
      <c r="Z249" s="5">
        <v>13903.1242</v>
      </c>
      <c r="AA249" s="5">
        <v>4511.8969999999999</v>
      </c>
      <c r="AB249" s="5">
        <v>56851.43</v>
      </c>
      <c r="AC249" s="5">
        <v>1205.6500000000001</v>
      </c>
      <c r="AD249" s="5">
        <v>253.1865</v>
      </c>
    </row>
    <row r="250" spans="5:30" ht="15">
      <c r="E250" s="9">
        <v>41670</v>
      </c>
      <c r="F250" s="5">
        <v>198.67</v>
      </c>
      <c r="G250" s="5">
        <v>479.05650000000003</v>
      </c>
      <c r="H250" s="5">
        <v>759.48249999999996</v>
      </c>
      <c r="I250" s="5">
        <v>1833.76</v>
      </c>
      <c r="J250" s="5">
        <v>448.37759999999997</v>
      </c>
      <c r="K250" s="5">
        <v>1885.3</v>
      </c>
      <c r="L250" s="5">
        <v>2451.39</v>
      </c>
      <c r="M250" s="5">
        <v>2462.88</v>
      </c>
      <c r="N250" s="5">
        <v>2434.5500000000002</v>
      </c>
      <c r="O250" s="5">
        <v>2527.94</v>
      </c>
      <c r="P250" s="5">
        <v>1593.29</v>
      </c>
      <c r="Q250" s="5">
        <v>621.46</v>
      </c>
      <c r="R250" s="5">
        <v>1782.59</v>
      </c>
      <c r="S250" s="5">
        <v>1598.46</v>
      </c>
      <c r="T250" s="5">
        <v>391.92</v>
      </c>
      <c r="U250" s="5">
        <v>936.53</v>
      </c>
      <c r="V250" s="5">
        <v>4977.1833999999999</v>
      </c>
      <c r="W250" s="5">
        <v>13914.8228</v>
      </c>
      <c r="X250" s="5">
        <v>17478.9205</v>
      </c>
      <c r="Y250" s="5">
        <v>10158.6849</v>
      </c>
      <c r="Z250" s="5">
        <v>13784.743899999999</v>
      </c>
      <c r="AA250" s="5">
        <v>4672.34</v>
      </c>
      <c r="AB250" s="5">
        <v>57761.54</v>
      </c>
      <c r="AC250" s="5">
        <v>1244.55</v>
      </c>
      <c r="AD250" s="5">
        <v>253.9401</v>
      </c>
    </row>
    <row r="251" spans="5:30" ht="15">
      <c r="E251" s="9">
        <v>41698</v>
      </c>
      <c r="F251" s="5">
        <v>198.67</v>
      </c>
      <c r="G251" s="5">
        <v>479.4529</v>
      </c>
      <c r="H251" s="5">
        <v>761.43960000000004</v>
      </c>
      <c r="I251" s="5">
        <v>1843.51</v>
      </c>
      <c r="J251" s="5">
        <v>450.58120000000002</v>
      </c>
      <c r="K251" s="5">
        <v>1891.79</v>
      </c>
      <c r="L251" s="5">
        <v>2476.88</v>
      </c>
      <c r="M251" s="5">
        <v>2490.29</v>
      </c>
      <c r="N251" s="5">
        <v>2457.58</v>
      </c>
      <c r="O251" s="5">
        <v>2551.81</v>
      </c>
      <c r="P251" s="5">
        <v>1625.52</v>
      </c>
      <c r="Q251" s="5">
        <v>641.62</v>
      </c>
      <c r="R251" s="5">
        <v>1859.45</v>
      </c>
      <c r="S251" s="5">
        <v>1675.4</v>
      </c>
      <c r="T251" s="5">
        <v>410.13</v>
      </c>
      <c r="U251" s="5">
        <v>966.42</v>
      </c>
      <c r="V251" s="5">
        <v>5055.1518999999998</v>
      </c>
      <c r="W251" s="5">
        <v>14174.909900000001</v>
      </c>
      <c r="X251" s="5">
        <v>17922.491300000002</v>
      </c>
      <c r="Y251" s="5">
        <v>10284.213100000001</v>
      </c>
      <c r="Z251" s="5">
        <v>13983.1011</v>
      </c>
      <c r="AA251" s="5">
        <v>4888.875</v>
      </c>
      <c r="AB251" s="5">
        <v>60490.66</v>
      </c>
      <c r="AC251" s="5">
        <v>1326.44</v>
      </c>
      <c r="AD251" s="5">
        <v>269.77390000000003</v>
      </c>
    </row>
    <row r="252" spans="5:30" ht="15">
      <c r="E252" s="9">
        <v>41729</v>
      </c>
      <c r="F252" s="5">
        <v>198.69</v>
      </c>
      <c r="G252" s="5">
        <v>478.96769999999998</v>
      </c>
      <c r="H252" s="5">
        <v>759.375</v>
      </c>
      <c r="I252" s="5">
        <v>1840.37</v>
      </c>
      <c r="J252" s="5">
        <v>451.02420000000001</v>
      </c>
      <c r="K252" s="5">
        <v>1885.7</v>
      </c>
      <c r="L252" s="5">
        <v>2478.5300000000002</v>
      </c>
      <c r="M252" s="5">
        <v>2494.25</v>
      </c>
      <c r="N252" s="5">
        <v>2453.9899999999998</v>
      </c>
      <c r="O252" s="5">
        <v>2557.54</v>
      </c>
      <c r="P252" s="5">
        <v>1629.36</v>
      </c>
      <c r="Q252" s="5">
        <v>649.71</v>
      </c>
      <c r="R252" s="5">
        <v>1872.34</v>
      </c>
      <c r="S252" s="5">
        <v>1673.87</v>
      </c>
      <c r="T252" s="5">
        <v>411.02</v>
      </c>
      <c r="U252" s="5">
        <v>994.65</v>
      </c>
      <c r="V252" s="5">
        <v>5024.3343999999997</v>
      </c>
      <c r="W252" s="5">
        <v>14190.598400000001</v>
      </c>
      <c r="X252" s="5">
        <v>17848.0118</v>
      </c>
      <c r="Y252" s="5">
        <v>10333.0509</v>
      </c>
      <c r="Z252" s="5">
        <v>13857.130499999999</v>
      </c>
      <c r="AA252" s="5">
        <v>4907.2299999999996</v>
      </c>
      <c r="AB252" s="5">
        <v>59274.559999999998</v>
      </c>
      <c r="AC252" s="5">
        <v>1284.01</v>
      </c>
      <c r="AD252" s="5">
        <v>270.88319999999999</v>
      </c>
    </row>
    <row r="253" spans="5:30" ht="15">
      <c r="E253" s="9">
        <v>41759</v>
      </c>
      <c r="F253" s="5">
        <v>198.71</v>
      </c>
      <c r="G253" s="5">
        <v>479.57769999999999</v>
      </c>
      <c r="H253" s="5">
        <v>763.43409999999994</v>
      </c>
      <c r="I253" s="5">
        <v>1855.9</v>
      </c>
      <c r="J253" s="5">
        <v>454.14519999999999</v>
      </c>
      <c r="K253" s="5">
        <v>1903.14</v>
      </c>
      <c r="L253" s="5">
        <v>2508.2199999999998</v>
      </c>
      <c r="M253" s="5">
        <v>2526.14</v>
      </c>
      <c r="N253" s="5">
        <v>2476.4499999999998</v>
      </c>
      <c r="O253" s="5">
        <v>2598.7600000000002</v>
      </c>
      <c r="P253" s="5">
        <v>1639.68</v>
      </c>
      <c r="Q253" s="5">
        <v>659.84</v>
      </c>
      <c r="R253" s="5">
        <v>1883.95</v>
      </c>
      <c r="S253" s="5">
        <v>1687.74</v>
      </c>
      <c r="T253" s="5">
        <v>414.09</v>
      </c>
      <c r="U253" s="5">
        <v>995.28</v>
      </c>
      <c r="V253" s="5">
        <v>4989.9993999999997</v>
      </c>
      <c r="W253" s="5">
        <v>14199.72</v>
      </c>
      <c r="X253" s="5">
        <v>17717.9244</v>
      </c>
      <c r="Y253" s="5">
        <v>10392.680399999999</v>
      </c>
      <c r="Z253" s="5">
        <v>13865.789500000001</v>
      </c>
      <c r="AA253" s="5">
        <v>5049.2259999999997</v>
      </c>
      <c r="AB253" s="5">
        <v>55354.12</v>
      </c>
      <c r="AC253" s="5">
        <v>1291.55</v>
      </c>
      <c r="AD253" s="5">
        <v>277.48149999999998</v>
      </c>
    </row>
    <row r="254" spans="5:30" ht="15">
      <c r="E254" s="9">
        <v>41789</v>
      </c>
      <c r="F254" s="5">
        <v>198.71</v>
      </c>
      <c r="G254" s="5">
        <v>480.41730000000001</v>
      </c>
      <c r="H254" s="5">
        <v>770.36099999999999</v>
      </c>
      <c r="I254" s="5">
        <v>1877.03</v>
      </c>
      <c r="J254" s="5">
        <v>458.52600000000001</v>
      </c>
      <c r="K254" s="5">
        <v>1926.04</v>
      </c>
      <c r="L254" s="5">
        <v>2542.5100000000002</v>
      </c>
      <c r="M254" s="5">
        <v>2562.77</v>
      </c>
      <c r="N254" s="5">
        <v>2504.69</v>
      </c>
      <c r="O254" s="5">
        <v>2640.61</v>
      </c>
      <c r="P254" s="5">
        <v>1654.76</v>
      </c>
      <c r="Q254" s="5">
        <v>680.92</v>
      </c>
      <c r="R254" s="5">
        <v>1923.57</v>
      </c>
      <c r="S254" s="5">
        <v>1715.18</v>
      </c>
      <c r="T254" s="5">
        <v>421.53</v>
      </c>
      <c r="U254" s="5">
        <v>1027.69</v>
      </c>
      <c r="V254" s="5">
        <v>5049.6169</v>
      </c>
      <c r="W254" s="5">
        <v>14330.133099999999</v>
      </c>
      <c r="X254" s="5">
        <v>17916.2343</v>
      </c>
      <c r="Y254" s="5">
        <v>10480.885</v>
      </c>
      <c r="Z254" s="5">
        <v>13944.688599999999</v>
      </c>
      <c r="AA254" s="5">
        <v>5194.0349999999999</v>
      </c>
      <c r="AB254" s="5">
        <v>55198.45</v>
      </c>
      <c r="AC254" s="5">
        <v>1249.73</v>
      </c>
      <c r="AD254" s="5">
        <v>269.50490000000002</v>
      </c>
    </row>
    <row r="255" spans="5:30" ht="15">
      <c r="E255" s="9">
        <v>41820</v>
      </c>
      <c r="F255" s="5">
        <v>198.72</v>
      </c>
      <c r="G255" s="5">
        <v>480.21300000000002</v>
      </c>
      <c r="H255" s="5">
        <v>769.35109999999997</v>
      </c>
      <c r="I255" s="5">
        <v>1878</v>
      </c>
      <c r="J255" s="5">
        <v>460.08409999999998</v>
      </c>
      <c r="K255" s="5">
        <v>1931.09</v>
      </c>
      <c r="L255" s="5">
        <v>2544.4899999999998</v>
      </c>
      <c r="M255" s="5">
        <v>2563.3200000000002</v>
      </c>
      <c r="N255" s="5">
        <v>2508.8000000000002</v>
      </c>
      <c r="O255" s="5">
        <v>2643.45</v>
      </c>
      <c r="P255" s="5">
        <v>1668.59</v>
      </c>
      <c r="Q255" s="5">
        <v>684.97</v>
      </c>
      <c r="R255" s="5">
        <v>1960.23</v>
      </c>
      <c r="S255" s="5">
        <v>1743.42</v>
      </c>
      <c r="T255" s="5">
        <v>428.75</v>
      </c>
      <c r="U255" s="5">
        <v>1050.78</v>
      </c>
      <c r="V255" s="5">
        <v>5100.6481000000003</v>
      </c>
      <c r="W255" s="5">
        <v>14518.7482</v>
      </c>
      <c r="X255" s="5">
        <v>18225.4388</v>
      </c>
      <c r="Y255" s="5">
        <v>10582.0465</v>
      </c>
      <c r="Z255" s="5">
        <v>14041.676299999999</v>
      </c>
      <c r="AA255" s="5">
        <v>5251.6220000000003</v>
      </c>
      <c r="AB255" s="5">
        <v>58408.02</v>
      </c>
      <c r="AC255" s="5">
        <v>1327.32</v>
      </c>
      <c r="AD255" s="5">
        <v>271.1121</v>
      </c>
    </row>
    <row r="256" spans="5:30" ht="15">
      <c r="E256" s="9">
        <v>41851</v>
      </c>
      <c r="F256" s="5">
        <v>198.73</v>
      </c>
      <c r="G256" s="5">
        <v>479.85250000000002</v>
      </c>
      <c r="H256" s="5">
        <v>768.20699999999999</v>
      </c>
      <c r="I256" s="5">
        <v>1873.29</v>
      </c>
      <c r="J256" s="5">
        <v>461.0745</v>
      </c>
      <c r="K256" s="5">
        <v>1919.76</v>
      </c>
      <c r="L256" s="5">
        <v>2543.0700000000002</v>
      </c>
      <c r="M256" s="5">
        <v>2562.1</v>
      </c>
      <c r="N256" s="5">
        <v>2506.1</v>
      </c>
      <c r="O256" s="5">
        <v>2646.09</v>
      </c>
      <c r="P256" s="5">
        <v>1646.34</v>
      </c>
      <c r="Q256" s="5">
        <v>685.77</v>
      </c>
      <c r="R256" s="5">
        <v>1930.67</v>
      </c>
      <c r="S256" s="5">
        <v>1714.35</v>
      </c>
      <c r="T256" s="5">
        <v>423.04</v>
      </c>
      <c r="U256" s="5">
        <v>1065.77</v>
      </c>
      <c r="V256" s="5">
        <v>5078.9120999999996</v>
      </c>
      <c r="W256" s="5">
        <v>14425.576800000001</v>
      </c>
      <c r="X256" s="5">
        <v>18049.0861</v>
      </c>
      <c r="Y256" s="5">
        <v>10576.364299999999</v>
      </c>
      <c r="Z256" s="5">
        <v>13986.182199999999</v>
      </c>
      <c r="AA256" s="5">
        <v>5242.3810000000003</v>
      </c>
      <c r="AB256" s="5">
        <v>54315.28</v>
      </c>
      <c r="AC256" s="5">
        <v>1282.55</v>
      </c>
      <c r="AD256" s="5">
        <v>257.60109999999997</v>
      </c>
    </row>
    <row r="257" spans="5:30" ht="15">
      <c r="E257" s="9">
        <v>41880</v>
      </c>
      <c r="F257" s="5">
        <v>198.75</v>
      </c>
      <c r="G257" s="5">
        <v>480.65550000000002</v>
      </c>
      <c r="H257" s="5">
        <v>776.05629999999996</v>
      </c>
      <c r="I257" s="5">
        <v>1893.97</v>
      </c>
      <c r="J257" s="5">
        <v>466.69299999999998</v>
      </c>
      <c r="K257" s="5">
        <v>1937.74</v>
      </c>
      <c r="L257" s="5">
        <v>2579.75</v>
      </c>
      <c r="M257" s="5">
        <v>2603.12</v>
      </c>
      <c r="N257" s="5">
        <v>2532.7600000000002</v>
      </c>
      <c r="O257" s="5">
        <v>2694.39</v>
      </c>
      <c r="P257" s="5">
        <v>1672.43</v>
      </c>
      <c r="Q257" s="5">
        <v>690.3</v>
      </c>
      <c r="R257" s="5">
        <v>2003.37</v>
      </c>
      <c r="S257" s="5">
        <v>1748.69</v>
      </c>
      <c r="T257" s="5">
        <v>431.55</v>
      </c>
      <c r="U257" s="5">
        <v>1087.8800000000001</v>
      </c>
      <c r="V257" s="5">
        <v>5120.0284000000001</v>
      </c>
      <c r="W257" s="5">
        <v>14477.7708</v>
      </c>
      <c r="X257" s="5">
        <v>18339.719400000002</v>
      </c>
      <c r="Y257" s="5">
        <v>10638.154500000001</v>
      </c>
      <c r="Z257" s="5">
        <v>14195.9997</v>
      </c>
      <c r="AA257" s="5">
        <v>5419.7730000000001</v>
      </c>
      <c r="AB257" s="5">
        <v>56599.29</v>
      </c>
      <c r="AC257" s="5">
        <v>1287.82</v>
      </c>
      <c r="AD257" s="5">
        <v>254.90880000000001</v>
      </c>
    </row>
    <row r="258" spans="5:30" ht="15">
      <c r="E258" s="9">
        <v>41912</v>
      </c>
      <c r="F258" s="5">
        <v>198.76</v>
      </c>
      <c r="G258" s="5">
        <v>480.35770000000002</v>
      </c>
      <c r="H258" s="5">
        <v>771.88760000000002</v>
      </c>
      <c r="I258" s="5">
        <v>1881.11</v>
      </c>
      <c r="J258" s="5">
        <v>465.3177</v>
      </c>
      <c r="K258" s="5">
        <v>1934.61</v>
      </c>
      <c r="L258" s="5">
        <v>2542.5300000000002</v>
      </c>
      <c r="M258" s="5">
        <v>2559.13</v>
      </c>
      <c r="N258" s="5">
        <v>2507.66</v>
      </c>
      <c r="O258" s="5">
        <v>2655.41</v>
      </c>
      <c r="P258" s="5">
        <v>1637.42</v>
      </c>
      <c r="Q258" s="5">
        <v>673.67</v>
      </c>
      <c r="R258" s="5">
        <v>1972.29</v>
      </c>
      <c r="S258" s="5">
        <v>1698.41</v>
      </c>
      <c r="T258" s="5">
        <v>416.85</v>
      </c>
      <c r="U258" s="5">
        <v>1005.33</v>
      </c>
      <c r="V258" s="5">
        <v>5119.1174000000001</v>
      </c>
      <c r="W258" s="5">
        <v>14269.2135</v>
      </c>
      <c r="X258" s="5">
        <v>17977.8341</v>
      </c>
      <c r="Y258" s="5">
        <v>10599.2642</v>
      </c>
      <c r="Z258" s="5">
        <v>14349.293299999999</v>
      </c>
      <c r="AA258" s="5">
        <v>5113.223</v>
      </c>
      <c r="AB258" s="5">
        <v>53379.03</v>
      </c>
      <c r="AC258" s="5">
        <v>1208.1600000000001</v>
      </c>
      <c r="AD258" s="5">
        <v>239.03870000000001</v>
      </c>
    </row>
    <row r="259" spans="5:30" ht="15">
      <c r="E259" s="9">
        <v>41943</v>
      </c>
      <c r="F259" s="5">
        <v>198.76</v>
      </c>
      <c r="G259" s="5">
        <v>481.68079999999998</v>
      </c>
      <c r="H259" s="5">
        <v>779.24919999999997</v>
      </c>
      <c r="I259" s="5">
        <v>1899.6</v>
      </c>
      <c r="J259" s="5">
        <v>468.70890000000003</v>
      </c>
      <c r="K259" s="5">
        <v>1953.34</v>
      </c>
      <c r="L259" s="5">
        <v>2568.56</v>
      </c>
      <c r="M259" s="5">
        <v>2584.4899999999998</v>
      </c>
      <c r="N259" s="5">
        <v>2531.89</v>
      </c>
      <c r="O259" s="5">
        <v>2695.95</v>
      </c>
      <c r="P259" s="5">
        <v>1656.88</v>
      </c>
      <c r="Q259" s="5">
        <v>684.77</v>
      </c>
      <c r="R259" s="5">
        <v>2018.05</v>
      </c>
      <c r="S259" s="5">
        <v>1708.09</v>
      </c>
      <c r="T259" s="5">
        <v>419.45</v>
      </c>
      <c r="U259" s="5">
        <v>1016.07</v>
      </c>
      <c r="V259" s="5">
        <v>5088.2662</v>
      </c>
      <c r="W259" s="5">
        <v>14031.0887</v>
      </c>
      <c r="X259" s="5">
        <v>17963.2559</v>
      </c>
      <c r="Y259" s="5">
        <v>10529.296</v>
      </c>
      <c r="Z259" s="5">
        <v>14320.528399999999</v>
      </c>
      <c r="AA259" s="5">
        <v>5556.7489999999998</v>
      </c>
      <c r="AB259" s="5">
        <v>55026.63</v>
      </c>
      <c r="AC259" s="5">
        <v>1173.48</v>
      </c>
      <c r="AD259" s="5">
        <v>237.11709999999999</v>
      </c>
    </row>
    <row r="260" spans="5:30" ht="15">
      <c r="E260" s="9">
        <v>41971</v>
      </c>
      <c r="F260" s="5">
        <v>198.77</v>
      </c>
      <c r="G260" s="5">
        <v>482.35629999999998</v>
      </c>
      <c r="H260" s="5">
        <v>785.41970000000003</v>
      </c>
      <c r="I260" s="5">
        <v>1913.08</v>
      </c>
      <c r="J260" s="5">
        <v>473.11020000000002</v>
      </c>
      <c r="K260" s="5">
        <v>1966.13</v>
      </c>
      <c r="L260" s="5">
        <v>2585.87</v>
      </c>
      <c r="M260" s="5">
        <v>2601.1999999999998</v>
      </c>
      <c r="N260" s="5">
        <v>2551.7800000000002</v>
      </c>
      <c r="O260" s="5">
        <v>2706.74</v>
      </c>
      <c r="P260" s="5">
        <v>1644.82</v>
      </c>
      <c r="Q260" s="5">
        <v>682.12</v>
      </c>
      <c r="R260" s="5">
        <v>2067.56</v>
      </c>
      <c r="S260" s="5">
        <v>1739.5</v>
      </c>
      <c r="T260" s="5">
        <v>425.82</v>
      </c>
      <c r="U260" s="5">
        <v>1004.72</v>
      </c>
      <c r="V260" s="5">
        <v>5157.8643000000002</v>
      </c>
      <c r="W260" s="5">
        <v>14103.504000000001</v>
      </c>
      <c r="X260" s="5">
        <v>18033.279699999999</v>
      </c>
      <c r="Y260" s="5">
        <v>10552.933499999999</v>
      </c>
      <c r="Z260" s="5">
        <v>14642.9534</v>
      </c>
      <c r="AA260" s="5">
        <v>5686.0360000000001</v>
      </c>
      <c r="AB260" s="5">
        <v>54336.55</v>
      </c>
      <c r="AC260" s="5">
        <v>1167.4000000000001</v>
      </c>
      <c r="AD260" s="5">
        <v>227.47149999999999</v>
      </c>
    </row>
    <row r="261" spans="5:30" ht="15">
      <c r="E261" s="9">
        <v>42004</v>
      </c>
      <c r="F261" s="5">
        <v>198.76</v>
      </c>
      <c r="G261" s="5">
        <v>481.19630000000001</v>
      </c>
      <c r="H261" s="5">
        <v>786.59079999999994</v>
      </c>
      <c r="I261" s="5">
        <v>1914.87</v>
      </c>
      <c r="J261" s="5">
        <v>475.55950000000001</v>
      </c>
      <c r="K261" s="5">
        <v>1969.17</v>
      </c>
      <c r="L261" s="5">
        <v>2587.44</v>
      </c>
      <c r="M261" s="5">
        <v>2598.65</v>
      </c>
      <c r="N261" s="5">
        <v>2552.41</v>
      </c>
      <c r="O261" s="5">
        <v>2746.03</v>
      </c>
      <c r="P261" s="5">
        <v>1621</v>
      </c>
      <c r="Q261" s="5">
        <v>662.57</v>
      </c>
      <c r="R261" s="5">
        <v>2058.9</v>
      </c>
      <c r="S261" s="5">
        <v>1709.67</v>
      </c>
      <c r="T261" s="5">
        <v>417.12</v>
      </c>
      <c r="U261" s="5">
        <v>956.31</v>
      </c>
      <c r="V261" s="5">
        <v>5171.5420000000004</v>
      </c>
      <c r="W261" s="5">
        <v>14064.864</v>
      </c>
      <c r="X261" s="5">
        <v>17970.592799999999</v>
      </c>
      <c r="Y261" s="5">
        <v>10503.638199999999</v>
      </c>
      <c r="Z261" s="5">
        <v>14678.342500000001</v>
      </c>
      <c r="AA261" s="5">
        <v>5740.4319999999998</v>
      </c>
      <c r="AB261" s="5">
        <v>56734.78</v>
      </c>
      <c r="AC261" s="5">
        <v>1184.8599999999999</v>
      </c>
      <c r="AD261" s="5">
        <v>210.1242</v>
      </c>
    </row>
    <row r="262" spans="5:30" ht="15">
      <c r="E262" s="9">
        <v>42034</v>
      </c>
      <c r="F262" s="5">
        <v>198.8</v>
      </c>
      <c r="G262" s="5">
        <v>483.62450000000001</v>
      </c>
      <c r="H262" s="5">
        <v>806.7423</v>
      </c>
      <c r="I262" s="5">
        <v>1955.02</v>
      </c>
      <c r="J262" s="5">
        <v>484.42860000000002</v>
      </c>
      <c r="K262" s="5">
        <v>1985.88</v>
      </c>
      <c r="L262" s="5">
        <v>2665.94</v>
      </c>
      <c r="M262" s="5">
        <v>2681.4</v>
      </c>
      <c r="N262" s="5">
        <v>2613.31</v>
      </c>
      <c r="O262" s="5">
        <v>2871.99</v>
      </c>
      <c r="P262" s="5">
        <v>1631.71</v>
      </c>
      <c r="Q262" s="5">
        <v>664.85</v>
      </c>
      <c r="R262" s="5">
        <v>1994.99</v>
      </c>
      <c r="S262" s="5">
        <v>1677.54</v>
      </c>
      <c r="T262" s="5">
        <v>410.33</v>
      </c>
      <c r="U262" s="5">
        <v>961.61</v>
      </c>
      <c r="V262" s="5">
        <v>5180.5406000000003</v>
      </c>
      <c r="W262" s="5">
        <v>13915.7112</v>
      </c>
      <c r="X262" s="5">
        <v>17788.392899999999</v>
      </c>
      <c r="Y262" s="5">
        <v>10505.619199999999</v>
      </c>
      <c r="Z262" s="5">
        <v>15047.019700000001</v>
      </c>
      <c r="AA262" s="5">
        <v>6067.9290000000001</v>
      </c>
      <c r="AB262" s="5">
        <v>54798.400000000001</v>
      </c>
      <c r="AC262" s="5">
        <v>1283.78</v>
      </c>
      <c r="AD262" s="5">
        <v>203.10560000000001</v>
      </c>
    </row>
    <row r="263" spans="5:30" ht="15">
      <c r="E263" s="9">
        <v>42062</v>
      </c>
      <c r="F263" s="5">
        <v>198.81</v>
      </c>
      <c r="G263" s="5">
        <v>482.5831</v>
      </c>
      <c r="H263" s="5">
        <v>794.36530000000005</v>
      </c>
      <c r="I263" s="5">
        <v>1936.64</v>
      </c>
      <c r="J263" s="5">
        <v>481.56639999999999</v>
      </c>
      <c r="K263" s="5">
        <v>1982.65</v>
      </c>
      <c r="L263" s="5">
        <v>2638.92</v>
      </c>
      <c r="M263" s="5">
        <v>2654.76</v>
      </c>
      <c r="N263" s="5">
        <v>2592.0100000000002</v>
      </c>
      <c r="O263" s="5">
        <v>2815.1</v>
      </c>
      <c r="P263" s="5">
        <v>1671.04</v>
      </c>
      <c r="Q263" s="5">
        <v>673.13</v>
      </c>
      <c r="R263" s="5">
        <v>2104.5</v>
      </c>
      <c r="S263" s="5">
        <v>1772.86</v>
      </c>
      <c r="T263" s="5">
        <v>432.47</v>
      </c>
      <c r="U263" s="5">
        <v>990.28</v>
      </c>
      <c r="V263" s="5">
        <v>5275.4323999999997</v>
      </c>
      <c r="W263" s="5">
        <v>14265.5357</v>
      </c>
      <c r="X263" s="5">
        <v>18271.902600000001</v>
      </c>
      <c r="Y263" s="5">
        <v>10656.331399999999</v>
      </c>
      <c r="Z263" s="5">
        <v>15076.506100000001</v>
      </c>
      <c r="AA263" s="5">
        <v>5902.8230000000003</v>
      </c>
      <c r="AB263" s="5">
        <v>57534.91</v>
      </c>
      <c r="AC263" s="5">
        <v>1213.22</v>
      </c>
      <c r="AD263" s="5">
        <v>208.3382</v>
      </c>
    </row>
    <row r="264" spans="5:30" ht="15">
      <c r="E264" s="9">
        <v>42094</v>
      </c>
      <c r="F264" s="5">
        <v>198.81</v>
      </c>
      <c r="G264" s="5">
        <v>483.68270000000001</v>
      </c>
      <c r="H264" s="5">
        <v>799.2011</v>
      </c>
      <c r="I264" s="5">
        <v>1945.63</v>
      </c>
      <c r="J264" s="5">
        <v>484.32580000000002</v>
      </c>
      <c r="K264" s="5">
        <v>1989.99</v>
      </c>
      <c r="L264" s="5">
        <v>2647.34</v>
      </c>
      <c r="M264" s="5">
        <v>2662.82</v>
      </c>
      <c r="N264" s="5">
        <v>2603.08</v>
      </c>
      <c r="O264" s="5">
        <v>2814.69</v>
      </c>
      <c r="P264" s="5">
        <v>1661.89</v>
      </c>
      <c r="Q264" s="5">
        <v>676.22</v>
      </c>
      <c r="R264" s="5">
        <v>2067.89</v>
      </c>
      <c r="S264" s="5">
        <v>1740.81</v>
      </c>
      <c r="T264" s="5">
        <v>424.76</v>
      </c>
      <c r="U264" s="5">
        <v>974.57</v>
      </c>
      <c r="V264" s="5">
        <v>5307.33</v>
      </c>
      <c r="W264" s="5">
        <v>14319.3169</v>
      </c>
      <c r="X264" s="5">
        <v>18323.758099999999</v>
      </c>
      <c r="Y264" s="5">
        <v>10693.9908</v>
      </c>
      <c r="Z264" s="5">
        <v>15161.163200000001</v>
      </c>
      <c r="AA264" s="5">
        <v>5962.1170000000002</v>
      </c>
      <c r="AB264" s="5">
        <v>58232.71</v>
      </c>
      <c r="AC264" s="5">
        <v>1183.67</v>
      </c>
      <c r="AD264" s="5">
        <v>197.63730000000001</v>
      </c>
    </row>
    <row r="265" spans="5:30" ht="15">
      <c r="E265" s="9">
        <v>42124</v>
      </c>
      <c r="F265" s="5">
        <v>198.85</v>
      </c>
      <c r="G265" s="5">
        <v>483.8836</v>
      </c>
      <c r="H265" s="5">
        <v>795.06759999999997</v>
      </c>
      <c r="I265" s="5">
        <v>1938.65</v>
      </c>
      <c r="J265" s="5">
        <v>481.61790000000002</v>
      </c>
      <c r="K265" s="5">
        <v>1990.82</v>
      </c>
      <c r="L265" s="5">
        <v>2628.8</v>
      </c>
      <c r="M265" s="5">
        <v>2641.62</v>
      </c>
      <c r="N265" s="5">
        <v>2593.1799999999998</v>
      </c>
      <c r="O265" s="5">
        <v>2777.79</v>
      </c>
      <c r="P265" s="5">
        <v>1681.95</v>
      </c>
      <c r="Q265" s="5">
        <v>689.55</v>
      </c>
      <c r="R265" s="5">
        <v>2085.5100000000002</v>
      </c>
      <c r="S265" s="5">
        <v>1778.4</v>
      </c>
      <c r="T265" s="5">
        <v>436.3</v>
      </c>
      <c r="U265" s="5">
        <v>1047.78</v>
      </c>
      <c r="V265" s="5">
        <v>5306.3010000000004</v>
      </c>
      <c r="W265" s="5">
        <v>14499.8321</v>
      </c>
      <c r="X265" s="5">
        <v>18657.8161</v>
      </c>
      <c r="Y265" s="5">
        <v>10809.5862</v>
      </c>
      <c r="Z265" s="5">
        <v>14980.096</v>
      </c>
      <c r="AA265" s="5">
        <v>5683.5990000000002</v>
      </c>
      <c r="AB265" s="5">
        <v>56640.45</v>
      </c>
      <c r="AC265" s="5">
        <v>1184.3699999999999</v>
      </c>
      <c r="AD265" s="5">
        <v>208.96950000000001</v>
      </c>
    </row>
    <row r="266" spans="5:30" ht="15">
      <c r="E266" s="9">
        <v>42153</v>
      </c>
      <c r="F266" s="5">
        <v>198.86</v>
      </c>
      <c r="G266" s="5">
        <v>484.2466</v>
      </c>
      <c r="H266" s="5">
        <v>793.62750000000005</v>
      </c>
      <c r="I266" s="5">
        <v>1933.98</v>
      </c>
      <c r="J266" s="5">
        <v>479.62150000000003</v>
      </c>
      <c r="K266" s="5">
        <v>1990.36</v>
      </c>
      <c r="L266" s="5">
        <v>2611.64</v>
      </c>
      <c r="M266" s="5">
        <v>2620.9899999999998</v>
      </c>
      <c r="N266" s="5">
        <v>2587.81</v>
      </c>
      <c r="O266" s="5">
        <v>2734.52</v>
      </c>
      <c r="P266" s="5">
        <v>1687.05</v>
      </c>
      <c r="Q266" s="5">
        <v>685.85</v>
      </c>
      <c r="R266" s="5">
        <v>2107.39</v>
      </c>
      <c r="S266" s="5">
        <v>1779.31</v>
      </c>
      <c r="T266" s="5">
        <v>434.51</v>
      </c>
      <c r="U266" s="5">
        <v>1004.22</v>
      </c>
      <c r="V266" s="5">
        <v>5355.9299000000001</v>
      </c>
      <c r="W266" s="5">
        <v>14598.0885</v>
      </c>
      <c r="X266" s="5">
        <v>18836.1937</v>
      </c>
      <c r="Y266" s="5">
        <v>10850.8886</v>
      </c>
      <c r="Z266" s="5">
        <v>14972.890299999999</v>
      </c>
      <c r="AA266" s="5">
        <v>5673.8320000000003</v>
      </c>
      <c r="AB266" s="5">
        <v>58418.879999999997</v>
      </c>
      <c r="AC266" s="5">
        <v>1190.55</v>
      </c>
      <c r="AD266" s="5">
        <v>203.3312</v>
      </c>
    </row>
    <row r="267" spans="5:30" ht="15">
      <c r="E267" s="9">
        <v>42185</v>
      </c>
      <c r="F267" s="5">
        <v>198.87</v>
      </c>
      <c r="G267" s="5">
        <v>484.37369999999999</v>
      </c>
      <c r="H267" s="5">
        <v>786.72919999999999</v>
      </c>
      <c r="I267" s="5">
        <v>1912.89</v>
      </c>
      <c r="J267" s="5">
        <v>473.69290000000001</v>
      </c>
      <c r="K267" s="5">
        <v>1975.18</v>
      </c>
      <c r="L267" s="5">
        <v>2563.64</v>
      </c>
      <c r="M267" s="5">
        <v>2569.65</v>
      </c>
      <c r="N267" s="5">
        <v>2548.9</v>
      </c>
      <c r="O267" s="5">
        <v>2670.86</v>
      </c>
      <c r="P267" s="5">
        <v>1661.94</v>
      </c>
      <c r="Q267" s="5">
        <v>674.24</v>
      </c>
      <c r="R267" s="5">
        <v>2063.11</v>
      </c>
      <c r="S267" s="5">
        <v>1735.61</v>
      </c>
      <c r="T267" s="5">
        <v>423.51</v>
      </c>
      <c r="U267" s="5">
        <v>972.25</v>
      </c>
      <c r="V267" s="5">
        <v>5297.1172999999999</v>
      </c>
      <c r="W267" s="5">
        <v>14405.014800000001</v>
      </c>
      <c r="X267" s="5">
        <v>18660.248899999999</v>
      </c>
      <c r="Y267" s="5">
        <v>10777.9944</v>
      </c>
      <c r="Z267" s="5">
        <v>14626.769899999999</v>
      </c>
      <c r="AA267" s="5">
        <v>5428.652</v>
      </c>
      <c r="AB267" s="5">
        <v>59272.54</v>
      </c>
      <c r="AC267" s="5">
        <v>1172.42</v>
      </c>
      <c r="AD267" s="5">
        <v>206.84360000000001</v>
      </c>
    </row>
    <row r="268" spans="5:30" ht="15">
      <c r="E268" s="9">
        <v>42216</v>
      </c>
      <c r="F268" s="5">
        <v>198.87</v>
      </c>
      <c r="G268" s="5">
        <v>484.60219999999998</v>
      </c>
      <c r="H268" s="5">
        <v>793.15639999999996</v>
      </c>
      <c r="I268" s="5">
        <v>1926.19</v>
      </c>
      <c r="J268" s="5">
        <v>478.3845</v>
      </c>
      <c r="K268" s="5">
        <v>1987.63</v>
      </c>
      <c r="L268" s="5">
        <v>2580.9499999999998</v>
      </c>
      <c r="M268" s="5">
        <v>2583.7199999999998</v>
      </c>
      <c r="N268" s="5">
        <v>2568.0100000000002</v>
      </c>
      <c r="O268" s="5">
        <v>2708.06</v>
      </c>
      <c r="P268" s="5">
        <v>1652.26</v>
      </c>
      <c r="Q268" s="5">
        <v>677.01</v>
      </c>
      <c r="R268" s="5">
        <v>2103.84</v>
      </c>
      <c r="S268" s="5">
        <v>1765.6</v>
      </c>
      <c r="T268" s="5">
        <v>426.78</v>
      </c>
      <c r="U268" s="5">
        <v>901.68</v>
      </c>
      <c r="V268" s="5">
        <v>5322.8918000000003</v>
      </c>
      <c r="W268" s="5">
        <v>14262.780199999999</v>
      </c>
      <c r="X268" s="5">
        <v>18439.312699999999</v>
      </c>
      <c r="Y268" s="5">
        <v>10752.069600000001</v>
      </c>
      <c r="Z268" s="5">
        <v>14757.0355</v>
      </c>
      <c r="AA268" s="5">
        <v>5692.2860000000001</v>
      </c>
      <c r="AB268" s="5">
        <v>58759.43</v>
      </c>
      <c r="AC268" s="5">
        <v>1095.82</v>
      </c>
      <c r="AD268" s="5">
        <v>184.87880000000001</v>
      </c>
    </row>
    <row r="269" spans="5:30" ht="15">
      <c r="E269" s="9">
        <v>42247</v>
      </c>
      <c r="F269" s="5">
        <v>198.88</v>
      </c>
      <c r="G269" s="5">
        <v>484.40109999999999</v>
      </c>
      <c r="H269" s="5">
        <v>793.57550000000003</v>
      </c>
      <c r="I269" s="5">
        <v>1923.42</v>
      </c>
      <c r="J269" s="5">
        <v>477.09129999999999</v>
      </c>
      <c r="K269" s="5">
        <v>1989.31</v>
      </c>
      <c r="L269" s="5">
        <v>2565.67</v>
      </c>
      <c r="M269" s="5">
        <v>2562.52</v>
      </c>
      <c r="N269" s="5">
        <v>2563.9699999999998</v>
      </c>
      <c r="O269" s="5">
        <v>2691.02</v>
      </c>
      <c r="P269" s="5">
        <v>1623.48</v>
      </c>
      <c r="Q269" s="5">
        <v>669.73</v>
      </c>
      <c r="R269" s="5">
        <v>1972.18</v>
      </c>
      <c r="S269" s="5">
        <v>1645.43</v>
      </c>
      <c r="T269" s="5">
        <v>396.73</v>
      </c>
      <c r="U269" s="5">
        <v>818.73</v>
      </c>
      <c r="V269" s="5">
        <v>5233.5484999999999</v>
      </c>
      <c r="W269" s="5">
        <v>13947.918100000001</v>
      </c>
      <c r="X269" s="5">
        <v>17835.3442</v>
      </c>
      <c r="Y269" s="5">
        <v>10616.7847</v>
      </c>
      <c r="Z269" s="5">
        <v>14520.1258</v>
      </c>
      <c r="AA269" s="5">
        <v>5369.701</v>
      </c>
      <c r="AB269" s="5">
        <v>55128.05</v>
      </c>
      <c r="AC269" s="5">
        <v>1134.81</v>
      </c>
      <c r="AD269" s="5">
        <v>183.18020000000001</v>
      </c>
    </row>
    <row r="270" spans="5:30" ht="15">
      <c r="E270" s="9">
        <v>42277</v>
      </c>
      <c r="F270" s="5">
        <v>198.96</v>
      </c>
      <c r="G270" s="5">
        <v>485.80059999999997</v>
      </c>
      <c r="H270" s="5">
        <v>800.30229999999995</v>
      </c>
      <c r="I270" s="5">
        <v>1936.43</v>
      </c>
      <c r="J270" s="5">
        <v>479.92090000000002</v>
      </c>
      <c r="K270" s="5">
        <v>2000.94</v>
      </c>
      <c r="L270" s="5">
        <v>2584.8000000000002</v>
      </c>
      <c r="M270" s="5">
        <v>2577.81</v>
      </c>
      <c r="N270" s="5">
        <v>2587.38</v>
      </c>
      <c r="O270" s="5">
        <v>2723.54</v>
      </c>
      <c r="P270" s="5">
        <v>1581.23</v>
      </c>
      <c r="Q270" s="5">
        <v>660.48</v>
      </c>
      <c r="R270" s="5">
        <v>1920.03</v>
      </c>
      <c r="S270" s="5">
        <v>1581.92</v>
      </c>
      <c r="T270" s="5">
        <v>381.65</v>
      </c>
      <c r="U270" s="5">
        <v>792.05</v>
      </c>
      <c r="V270" s="5">
        <v>5141.4201999999996</v>
      </c>
      <c r="W270" s="5">
        <v>13618.8349</v>
      </c>
      <c r="X270" s="5">
        <v>17491.826499999999</v>
      </c>
      <c r="Y270" s="5">
        <v>10498.8698</v>
      </c>
      <c r="Z270" s="5">
        <v>14513.8194</v>
      </c>
      <c r="AA270" s="5">
        <v>5468.22</v>
      </c>
      <c r="AB270" s="5">
        <v>51937.41</v>
      </c>
      <c r="AC270" s="5">
        <v>1115.07</v>
      </c>
      <c r="AD270" s="5">
        <v>176.92060000000001</v>
      </c>
    </row>
    <row r="271" spans="5:30" ht="15">
      <c r="E271" s="9">
        <v>42307</v>
      </c>
      <c r="F271" s="5">
        <v>198.93</v>
      </c>
      <c r="G271" s="5">
        <v>485.33319999999998</v>
      </c>
      <c r="H271" s="5">
        <v>797.48249999999996</v>
      </c>
      <c r="I271" s="5">
        <v>1936.76</v>
      </c>
      <c r="J271" s="5">
        <v>481.47739999999999</v>
      </c>
      <c r="K271" s="5">
        <v>2002.26</v>
      </c>
      <c r="L271" s="5">
        <v>2595.6</v>
      </c>
      <c r="M271" s="5">
        <v>2591.19</v>
      </c>
      <c r="N271" s="5">
        <v>2594.9299999999998</v>
      </c>
      <c r="O271" s="5">
        <v>2727.84</v>
      </c>
      <c r="P271" s="5">
        <v>1624.7</v>
      </c>
      <c r="Q271" s="5">
        <v>681.34</v>
      </c>
      <c r="R271" s="5">
        <v>2079.36</v>
      </c>
      <c r="S271" s="5">
        <v>1705.8</v>
      </c>
      <c r="T271" s="5">
        <v>411.25</v>
      </c>
      <c r="U271" s="5">
        <v>847.84</v>
      </c>
      <c r="V271" s="5">
        <v>5175.1019999999999</v>
      </c>
      <c r="W271" s="5">
        <v>13802.383599999999</v>
      </c>
      <c r="X271" s="5">
        <v>18011.3923</v>
      </c>
      <c r="Y271" s="5">
        <v>10603.1404</v>
      </c>
      <c r="Z271" s="5">
        <v>14501.5378</v>
      </c>
      <c r="AA271" s="5">
        <v>5799.0209999999997</v>
      </c>
      <c r="AB271" s="5">
        <v>53990.92</v>
      </c>
      <c r="AC271" s="5">
        <v>1142.1600000000001</v>
      </c>
      <c r="AD271" s="5">
        <v>176.13120000000001</v>
      </c>
    </row>
    <row r="272" spans="5:30" ht="15">
      <c r="E272" s="9">
        <v>42338</v>
      </c>
      <c r="F272" s="5">
        <v>198.91</v>
      </c>
      <c r="G272" s="5">
        <v>484.16120000000001</v>
      </c>
      <c r="H272" s="5">
        <v>794.26469999999995</v>
      </c>
      <c r="I272" s="5">
        <v>1931.64</v>
      </c>
      <c r="J272" s="5">
        <v>481.69909999999999</v>
      </c>
      <c r="K272" s="5">
        <v>1999.54</v>
      </c>
      <c r="L272" s="5">
        <v>2589.92</v>
      </c>
      <c r="M272" s="5">
        <v>2581.6799999999998</v>
      </c>
      <c r="N272" s="5">
        <v>2597.42</v>
      </c>
      <c r="O272" s="5">
        <v>2717.15</v>
      </c>
      <c r="P272" s="5">
        <v>1588.59</v>
      </c>
      <c r="Q272" s="5">
        <v>680.95</v>
      </c>
      <c r="R272" s="5">
        <v>2080.41</v>
      </c>
      <c r="S272" s="5">
        <v>1694.4</v>
      </c>
      <c r="T272" s="5">
        <v>407.2</v>
      </c>
      <c r="U272" s="5">
        <v>814.3</v>
      </c>
      <c r="V272" s="5">
        <v>5198.6408000000001</v>
      </c>
      <c r="W272" s="5">
        <v>13702.769200000001</v>
      </c>
      <c r="X272" s="5">
        <v>18003.293600000001</v>
      </c>
      <c r="Y272" s="5">
        <v>10570.2533</v>
      </c>
      <c r="Z272" s="5">
        <v>14702.662</v>
      </c>
      <c r="AA272" s="5">
        <v>5792.9219999999996</v>
      </c>
      <c r="AB272" s="5">
        <v>56304.800000000003</v>
      </c>
      <c r="AC272" s="5">
        <v>1064.77</v>
      </c>
      <c r="AD272" s="5">
        <v>163.35419999999999</v>
      </c>
    </row>
    <row r="273" spans="5:30" ht="15">
      <c r="E273" s="9">
        <v>42369</v>
      </c>
      <c r="F273" s="5">
        <v>198.95</v>
      </c>
      <c r="G273" s="5">
        <v>483.6902</v>
      </c>
      <c r="H273" s="5">
        <v>792.96979999999996</v>
      </c>
      <c r="I273" s="5">
        <v>1925.4</v>
      </c>
      <c r="J273" s="5">
        <v>480.3956</v>
      </c>
      <c r="K273" s="5">
        <v>1998.89</v>
      </c>
      <c r="L273" s="5">
        <v>2569.73</v>
      </c>
      <c r="M273" s="5">
        <v>2553.0500000000002</v>
      </c>
      <c r="N273" s="5">
        <v>2591.02</v>
      </c>
      <c r="O273" s="5">
        <v>2705.67</v>
      </c>
      <c r="P273" s="5">
        <v>1548.58</v>
      </c>
      <c r="Q273" s="5">
        <v>670.71</v>
      </c>
      <c r="R273" s="5">
        <v>2043.94</v>
      </c>
      <c r="S273" s="5">
        <v>1662.79</v>
      </c>
      <c r="T273" s="5">
        <v>399.36</v>
      </c>
      <c r="U273" s="5">
        <v>794.14</v>
      </c>
      <c r="V273" s="5">
        <v>5162.8549999999996</v>
      </c>
      <c r="W273" s="5">
        <v>13565.28</v>
      </c>
      <c r="X273" s="5">
        <v>17795.703000000001</v>
      </c>
      <c r="Y273" s="5">
        <v>10473.073</v>
      </c>
      <c r="Z273" s="5">
        <v>14493.355</v>
      </c>
      <c r="AA273" s="5">
        <v>5858.1440000000002</v>
      </c>
      <c r="AB273" s="5">
        <v>53564.160000000003</v>
      </c>
      <c r="AC273" s="5">
        <v>1061.4100000000001</v>
      </c>
      <c r="AD273" s="5">
        <v>158.3135</v>
      </c>
    </row>
    <row r="274" spans="5:30" ht="15">
      <c r="E274" s="9">
        <v>42398</v>
      </c>
      <c r="F274" s="5">
        <v>199.01</v>
      </c>
      <c r="G274" s="5">
        <v>486.5573</v>
      </c>
      <c r="H274" s="5">
        <v>809.56460000000004</v>
      </c>
      <c r="I274" s="5">
        <v>1951.89</v>
      </c>
      <c r="J274" s="5">
        <v>487.42309999999998</v>
      </c>
      <c r="K274" s="5">
        <v>2024.83</v>
      </c>
      <c r="L274" s="5">
        <v>2578.84</v>
      </c>
      <c r="M274" s="5">
        <v>2551.85</v>
      </c>
      <c r="N274" s="5">
        <v>2608.92</v>
      </c>
      <c r="O274" s="5">
        <v>2766.02</v>
      </c>
      <c r="P274" s="5">
        <v>1523.69</v>
      </c>
      <c r="Q274" s="5">
        <v>669.38</v>
      </c>
      <c r="R274" s="5">
        <v>1940.24</v>
      </c>
      <c r="S274" s="5">
        <v>1562.18</v>
      </c>
      <c r="T274" s="5">
        <v>375.02</v>
      </c>
      <c r="U274" s="5">
        <v>742.37</v>
      </c>
      <c r="V274" s="5">
        <v>5060.5349999999999</v>
      </c>
      <c r="W274" s="5">
        <v>13135.934999999999</v>
      </c>
      <c r="X274" s="5">
        <v>16980.249</v>
      </c>
      <c r="Y274" s="5">
        <v>10302.348</v>
      </c>
      <c r="Z274" s="5">
        <v>14641.386</v>
      </c>
      <c r="AA274" s="5">
        <v>5646.2139999999999</v>
      </c>
      <c r="AB274" s="5">
        <v>47726.14</v>
      </c>
      <c r="AC274" s="5">
        <v>1118.17</v>
      </c>
      <c r="AD274" s="5">
        <v>155.65280000000001</v>
      </c>
    </row>
    <row r="275" spans="5:30" ht="15">
      <c r="E275" s="9">
        <v>42429</v>
      </c>
      <c r="F275" s="5">
        <v>199.06</v>
      </c>
      <c r="G275" s="5">
        <v>487.05040000000002</v>
      </c>
      <c r="H275" s="5">
        <v>816.77430000000004</v>
      </c>
      <c r="I275" s="5">
        <v>1965.74</v>
      </c>
      <c r="J275" s="5">
        <v>492.10809999999998</v>
      </c>
      <c r="K275" s="5">
        <v>2032.39</v>
      </c>
      <c r="L275" s="5">
        <v>2599.67</v>
      </c>
      <c r="M275" s="5">
        <v>2583.1</v>
      </c>
      <c r="N275" s="5">
        <v>2604.7199999999998</v>
      </c>
      <c r="O275" s="5">
        <v>2804.95</v>
      </c>
      <c r="P275" s="5">
        <v>1532.4</v>
      </c>
      <c r="Q275" s="5">
        <v>682.91</v>
      </c>
      <c r="R275" s="5">
        <v>1932.23</v>
      </c>
      <c r="S275" s="5">
        <v>1547.17</v>
      </c>
      <c r="T275" s="5">
        <v>371.66</v>
      </c>
      <c r="U275" s="5">
        <v>740.33</v>
      </c>
      <c r="V275" s="5">
        <v>5006.518</v>
      </c>
      <c r="W275" s="5">
        <v>13067.718999999999</v>
      </c>
      <c r="X275" s="5">
        <v>16904.146000000001</v>
      </c>
      <c r="Y275" s="5">
        <v>10245.454</v>
      </c>
      <c r="Z275" s="5">
        <v>14858.856</v>
      </c>
      <c r="AA275" s="5">
        <v>5631.973</v>
      </c>
      <c r="AB275" s="5">
        <v>47172.24</v>
      </c>
      <c r="AC275" s="5">
        <v>1238.74</v>
      </c>
      <c r="AD275" s="5">
        <v>153.12100000000001</v>
      </c>
    </row>
    <row r="276" spans="5:30" ht="15">
      <c r="E276" s="9">
        <v>42460</v>
      </c>
      <c r="F276" s="5">
        <v>199.18</v>
      </c>
      <c r="G276" s="5">
        <v>487.8526</v>
      </c>
      <c r="H276" s="5">
        <v>817.96519999999998</v>
      </c>
      <c r="I276" s="5">
        <v>1983.77</v>
      </c>
      <c r="J276" s="5">
        <v>496.15940000000001</v>
      </c>
      <c r="K276" s="5">
        <v>2038.4</v>
      </c>
      <c r="L276" s="5">
        <v>2671.78</v>
      </c>
      <c r="M276" s="5">
        <v>2673.23</v>
      </c>
      <c r="N276" s="5">
        <v>2649.49</v>
      </c>
      <c r="O276" s="5">
        <v>2840.39</v>
      </c>
      <c r="P276" s="5">
        <v>1600.51</v>
      </c>
      <c r="Q276" s="5">
        <v>705.69</v>
      </c>
      <c r="R276" s="5">
        <v>2059.7399999999998</v>
      </c>
      <c r="S276" s="5">
        <v>1648.12</v>
      </c>
      <c r="T276" s="5">
        <v>398.26</v>
      </c>
      <c r="U276" s="5">
        <v>836.8</v>
      </c>
      <c r="V276" s="5">
        <v>5015.95</v>
      </c>
      <c r="W276" s="5">
        <v>13468.53</v>
      </c>
      <c r="X276" s="5">
        <v>17481.580000000002</v>
      </c>
      <c r="Y276" s="5">
        <v>10437.519</v>
      </c>
      <c r="Z276" s="5">
        <v>14718.331</v>
      </c>
      <c r="AA276" s="5">
        <v>6194.9579999999996</v>
      </c>
      <c r="AB276" s="5">
        <v>49918.080000000002</v>
      </c>
      <c r="AC276" s="5">
        <v>1232.7</v>
      </c>
      <c r="AD276" s="5">
        <v>158.97280000000001</v>
      </c>
    </row>
    <row r="277" spans="5:30" ht="15">
      <c r="E277" s="9">
        <v>42489</v>
      </c>
      <c r="F277" s="5">
        <v>199.25</v>
      </c>
      <c r="G277" s="5">
        <v>488.0899</v>
      </c>
      <c r="H277" s="5">
        <v>817.11180000000002</v>
      </c>
      <c r="I277" s="5">
        <v>1991.39</v>
      </c>
      <c r="J277" s="5">
        <v>497.00189999999998</v>
      </c>
      <c r="K277" s="5">
        <v>2041.7</v>
      </c>
      <c r="L277" s="5">
        <v>2708.36</v>
      </c>
      <c r="M277" s="5">
        <v>2717.94</v>
      </c>
      <c r="N277" s="5">
        <v>2672.22</v>
      </c>
      <c r="O277" s="5">
        <v>2868.22</v>
      </c>
      <c r="P277" s="5">
        <v>1663.17</v>
      </c>
      <c r="Q277" s="5">
        <v>719.2</v>
      </c>
      <c r="R277" s="5">
        <v>2065.3000000000002</v>
      </c>
      <c r="S277" s="5">
        <v>1670.8</v>
      </c>
      <c r="T277" s="5">
        <v>403.34</v>
      </c>
      <c r="U277" s="5">
        <v>840.19</v>
      </c>
      <c r="V277" s="5">
        <v>5036.683</v>
      </c>
      <c r="W277" s="5">
        <v>13727.713</v>
      </c>
      <c r="X277" s="5">
        <v>17679.62</v>
      </c>
      <c r="Y277" s="5">
        <v>10603.647999999999</v>
      </c>
      <c r="Z277" s="5">
        <v>14706.415999999999</v>
      </c>
      <c r="AA277" s="5">
        <v>6094.6949999999997</v>
      </c>
      <c r="AB277" s="5">
        <v>51614.54</v>
      </c>
      <c r="AC277" s="5">
        <v>1293</v>
      </c>
      <c r="AD277" s="5">
        <v>172.50479999999999</v>
      </c>
    </row>
    <row r="278" spans="5:30" ht="15">
      <c r="E278" s="9">
        <v>42521</v>
      </c>
      <c r="F278" s="5">
        <v>199.26</v>
      </c>
      <c r="G278" s="5">
        <v>487.55239999999998</v>
      </c>
      <c r="H278" s="5">
        <v>817.15160000000003</v>
      </c>
      <c r="I278" s="5">
        <v>1991.9</v>
      </c>
      <c r="J278" s="5">
        <v>499.1028</v>
      </c>
      <c r="K278" s="5">
        <v>2044.34</v>
      </c>
      <c r="L278" s="5">
        <v>2706.27</v>
      </c>
      <c r="M278" s="5">
        <v>2710.14</v>
      </c>
      <c r="N278" s="5">
        <v>2675.29</v>
      </c>
      <c r="O278" s="5">
        <v>2892.59</v>
      </c>
      <c r="P278" s="5">
        <v>1673.44</v>
      </c>
      <c r="Q278" s="5">
        <v>717.06</v>
      </c>
      <c r="R278" s="5">
        <v>2096.96</v>
      </c>
      <c r="S278" s="5">
        <v>1674.61</v>
      </c>
      <c r="T278" s="5">
        <v>402.57</v>
      </c>
      <c r="U278" s="5">
        <v>807.45</v>
      </c>
      <c r="V278" s="5">
        <v>5059.8819999999996</v>
      </c>
      <c r="W278" s="5">
        <v>13869.259</v>
      </c>
      <c r="X278" s="5">
        <v>17791.745999999999</v>
      </c>
      <c r="Y278" s="5">
        <v>10696.745000000001</v>
      </c>
      <c r="Z278" s="5">
        <v>14570.16</v>
      </c>
      <c r="AA278" s="5">
        <v>6242.5069999999996</v>
      </c>
      <c r="AB278" s="5">
        <v>51823.79</v>
      </c>
      <c r="AC278" s="5">
        <v>1215.33</v>
      </c>
      <c r="AD278" s="5">
        <v>172.1789</v>
      </c>
    </row>
    <row r="279" spans="5:30" ht="15">
      <c r="E279" s="9">
        <v>42551</v>
      </c>
      <c r="F279" s="5">
        <v>199.38</v>
      </c>
      <c r="G279" s="5">
        <v>490.41359999999997</v>
      </c>
      <c r="H279" s="5">
        <v>835.25340000000006</v>
      </c>
      <c r="I279" s="5">
        <v>2027.69</v>
      </c>
      <c r="J279" s="5">
        <v>508.6037</v>
      </c>
      <c r="K279" s="5">
        <v>2060.9499999999998</v>
      </c>
      <c r="L279" s="5">
        <v>2767.19</v>
      </c>
      <c r="M279" s="5">
        <v>2780.56</v>
      </c>
      <c r="N279" s="5">
        <v>2714.32</v>
      </c>
      <c r="O279" s="5">
        <v>2969.76</v>
      </c>
      <c r="P279" s="5">
        <v>1688.84</v>
      </c>
      <c r="Q279" s="5">
        <v>743.81</v>
      </c>
      <c r="R279" s="5">
        <v>2098.86</v>
      </c>
      <c r="S279" s="5">
        <v>1653.23</v>
      </c>
      <c r="T279" s="5">
        <v>399.29</v>
      </c>
      <c r="U279" s="5">
        <v>834.1</v>
      </c>
      <c r="V279" s="5">
        <v>5038.9799999999996</v>
      </c>
      <c r="W279" s="5">
        <v>13861.343000000001</v>
      </c>
      <c r="X279" s="5">
        <v>17723.72</v>
      </c>
      <c r="Y279" s="5">
        <v>10752.344999999999</v>
      </c>
      <c r="Z279" s="5">
        <v>14893.581</v>
      </c>
      <c r="AA279" s="5">
        <v>6662.125</v>
      </c>
      <c r="AB279" s="5">
        <v>51002.91</v>
      </c>
      <c r="AC279" s="5">
        <v>1322.2</v>
      </c>
      <c r="AD279" s="5">
        <v>179.29130000000001</v>
      </c>
    </row>
    <row r="280" spans="5:30" ht="15">
      <c r="E280" s="9">
        <v>42580</v>
      </c>
      <c r="F280" s="5">
        <v>199.43</v>
      </c>
      <c r="G280" s="5">
        <v>490.15</v>
      </c>
      <c r="H280" s="5">
        <v>838.34</v>
      </c>
      <c r="I280" s="5">
        <v>2040.51</v>
      </c>
      <c r="J280" s="5">
        <v>511.64240000000001</v>
      </c>
      <c r="K280" s="5">
        <v>2065.17</v>
      </c>
      <c r="L280" s="5">
        <v>2807.62</v>
      </c>
      <c r="M280" s="5">
        <v>2824</v>
      </c>
      <c r="N280" s="5">
        <v>2747.01</v>
      </c>
      <c r="O280" s="5">
        <v>3019.48</v>
      </c>
      <c r="P280" s="5">
        <v>1734.5</v>
      </c>
      <c r="Q280" s="5">
        <v>755.38</v>
      </c>
      <c r="R280" s="5">
        <v>2173.6</v>
      </c>
      <c r="S280" s="5">
        <v>1721.79</v>
      </c>
      <c r="T280" s="5">
        <v>416.09</v>
      </c>
      <c r="U280" s="5">
        <v>873.47</v>
      </c>
      <c r="V280" s="5">
        <v>5108.2539999999999</v>
      </c>
      <c r="W280" s="5">
        <v>14122.633</v>
      </c>
      <c r="X280" s="5">
        <v>18195.080999999998</v>
      </c>
      <c r="Y280" s="5">
        <v>10882.986000000001</v>
      </c>
      <c r="Z280" s="5">
        <v>15011.659</v>
      </c>
      <c r="AA280" s="5">
        <v>6918.7129999999997</v>
      </c>
      <c r="AB280" s="5">
        <v>53779.06</v>
      </c>
      <c r="AC280" s="5">
        <v>1351</v>
      </c>
      <c r="AD280" s="5">
        <v>170.1268</v>
      </c>
    </row>
    <row r="281" spans="5:30" ht="15">
      <c r="E281" s="9">
        <v>42613</v>
      </c>
      <c r="F281" s="5">
        <v>199.47</v>
      </c>
      <c r="G281" s="5">
        <v>489.38990000000001</v>
      </c>
      <c r="H281" s="5">
        <v>833.83519999999999</v>
      </c>
      <c r="I281" s="5">
        <v>2038.18</v>
      </c>
      <c r="J281" s="5">
        <v>511.38159999999999</v>
      </c>
      <c r="K281" s="5">
        <v>2067.5500000000002</v>
      </c>
      <c r="L281" s="5">
        <v>2813.12</v>
      </c>
      <c r="M281" s="5">
        <v>2831.02</v>
      </c>
      <c r="N281" s="5">
        <v>2752.32</v>
      </c>
      <c r="O281" s="5">
        <v>3013.02</v>
      </c>
      <c r="P281" s="5">
        <v>1770.79</v>
      </c>
      <c r="Q281" s="5">
        <v>768.96</v>
      </c>
      <c r="R281" s="5">
        <v>2170.9499999999998</v>
      </c>
      <c r="S281" s="5">
        <v>1719.52</v>
      </c>
      <c r="T281" s="5">
        <v>416.61</v>
      </c>
      <c r="U281" s="5">
        <v>893.68</v>
      </c>
      <c r="V281" s="5">
        <v>5123.1220000000003</v>
      </c>
      <c r="W281" s="5">
        <v>14359.912</v>
      </c>
      <c r="X281" s="5">
        <v>18353.710999999999</v>
      </c>
      <c r="Y281" s="5">
        <v>10980.321</v>
      </c>
      <c r="Z281" s="5">
        <v>14790.36</v>
      </c>
      <c r="AA281" s="5">
        <v>6695.5439999999999</v>
      </c>
      <c r="AB281" s="5">
        <v>55115.42</v>
      </c>
      <c r="AC281" s="5">
        <v>1308.97</v>
      </c>
      <c r="AD281" s="5">
        <v>167.12899999999999</v>
      </c>
    </row>
    <row r="282" spans="5:30" ht="15">
      <c r="E282" s="9">
        <v>42643</v>
      </c>
      <c r="F282" s="5">
        <v>199.56</v>
      </c>
      <c r="G282" s="5">
        <v>489.95429999999999</v>
      </c>
      <c r="H282" s="5">
        <v>832.64469999999994</v>
      </c>
      <c r="I282" s="5">
        <v>2036.98</v>
      </c>
      <c r="J282" s="5">
        <v>511.32049999999998</v>
      </c>
      <c r="K282" s="5">
        <v>2073.2399999999998</v>
      </c>
      <c r="L282" s="5">
        <v>2806.15</v>
      </c>
      <c r="M282" s="5">
        <v>2824.51</v>
      </c>
      <c r="N282" s="5">
        <v>2747.09</v>
      </c>
      <c r="O282" s="5">
        <v>2994.37</v>
      </c>
      <c r="P282" s="5">
        <v>1782.59</v>
      </c>
      <c r="Q282" s="5">
        <v>771.57</v>
      </c>
      <c r="R282" s="5">
        <v>2168.27</v>
      </c>
      <c r="S282" s="5">
        <v>1725.67</v>
      </c>
      <c r="T282" s="5">
        <v>418.43</v>
      </c>
      <c r="U282" s="5">
        <v>903.46</v>
      </c>
      <c r="V282" s="5">
        <v>5128.3109999999997</v>
      </c>
      <c r="W282" s="5">
        <v>14484.44</v>
      </c>
      <c r="X282" s="5">
        <v>18536.491000000002</v>
      </c>
      <c r="Y282" s="5">
        <v>11070.737999999999</v>
      </c>
      <c r="Z282" s="5">
        <v>14739.405000000001</v>
      </c>
      <c r="AA282" s="5">
        <v>6603.6840000000002</v>
      </c>
      <c r="AB282" s="5">
        <v>57375.17</v>
      </c>
      <c r="AC282" s="5">
        <v>1315.75</v>
      </c>
      <c r="AD282" s="5">
        <v>172.36349999999999</v>
      </c>
    </row>
    <row r="283" spans="5:30" ht="15">
      <c r="E283" s="9">
        <v>42674</v>
      </c>
      <c r="F283" s="5">
        <v>199.62</v>
      </c>
      <c r="G283" s="5">
        <v>489.60410000000002</v>
      </c>
      <c r="H283" s="5">
        <v>823.62699999999995</v>
      </c>
      <c r="I283" s="5">
        <v>2021.4</v>
      </c>
      <c r="J283" s="5">
        <v>506.36270000000002</v>
      </c>
      <c r="K283" s="5">
        <v>2067.79</v>
      </c>
      <c r="L283" s="5">
        <v>2783.32</v>
      </c>
      <c r="M283" s="5">
        <v>2796.1</v>
      </c>
      <c r="N283" s="5">
        <v>2738.24</v>
      </c>
      <c r="O283" s="5">
        <v>2956.95</v>
      </c>
      <c r="P283" s="5">
        <v>1789.47</v>
      </c>
      <c r="Q283" s="5">
        <v>760.27</v>
      </c>
      <c r="R283" s="5">
        <v>2126.15</v>
      </c>
      <c r="S283" s="5">
        <v>1690.92</v>
      </c>
      <c r="T283" s="5">
        <v>411.01</v>
      </c>
      <c r="U283" s="5">
        <v>905.09</v>
      </c>
      <c r="V283" s="5">
        <v>5109.9979999999996</v>
      </c>
      <c r="W283" s="5">
        <v>14499.084000000001</v>
      </c>
      <c r="X283" s="5">
        <v>18388.035</v>
      </c>
      <c r="Y283" s="5">
        <v>11101.093999999999</v>
      </c>
      <c r="Z283" s="5">
        <v>14558.179</v>
      </c>
      <c r="AA283" s="5">
        <v>6284.26</v>
      </c>
      <c r="AB283" s="5">
        <v>53818.77</v>
      </c>
      <c r="AC283" s="5">
        <v>1277.3</v>
      </c>
      <c r="AD283" s="5">
        <v>171.5215</v>
      </c>
    </row>
    <row r="284" spans="5:30" ht="15">
      <c r="E284" s="9">
        <v>42704</v>
      </c>
      <c r="F284" s="5">
        <v>199.64</v>
      </c>
      <c r="G284" s="5">
        <v>487.6995</v>
      </c>
      <c r="H284" s="5">
        <v>801.96519999999998</v>
      </c>
      <c r="I284" s="5">
        <v>1973.59</v>
      </c>
      <c r="J284" s="5">
        <v>497.99959999999999</v>
      </c>
      <c r="K284" s="5">
        <v>2032.37</v>
      </c>
      <c r="L284" s="5">
        <v>2708.65</v>
      </c>
      <c r="M284" s="5">
        <v>2714.37</v>
      </c>
      <c r="N284" s="5">
        <v>2683.97</v>
      </c>
      <c r="O284" s="5">
        <v>2850.4</v>
      </c>
      <c r="P284" s="5">
        <v>1780.98</v>
      </c>
      <c r="Q284" s="5">
        <v>728.6</v>
      </c>
      <c r="R284" s="5">
        <v>2198.81</v>
      </c>
      <c r="S284" s="5">
        <v>1712.09</v>
      </c>
      <c r="T284" s="5">
        <v>413.43</v>
      </c>
      <c r="U284" s="5">
        <v>862.83</v>
      </c>
      <c r="V284" s="5">
        <v>5128.9769999999999</v>
      </c>
      <c r="W284" s="5">
        <v>14748.313</v>
      </c>
      <c r="X284" s="5">
        <v>18614.419999999998</v>
      </c>
      <c r="Y284" s="5">
        <v>11144.464</v>
      </c>
      <c r="Z284" s="5">
        <v>14513.279</v>
      </c>
      <c r="AA284" s="5">
        <v>6146.93</v>
      </c>
      <c r="AB284" s="5">
        <v>59332.3</v>
      </c>
      <c r="AC284" s="5">
        <v>1173.25</v>
      </c>
      <c r="AD284" s="5">
        <v>173.80879999999999</v>
      </c>
    </row>
    <row r="285" spans="5:30" ht="15">
      <c r="E285" s="9">
        <v>42734</v>
      </c>
      <c r="F285" s="5">
        <v>199.71</v>
      </c>
      <c r="G285" s="5">
        <v>487.8347</v>
      </c>
      <c r="H285" s="5">
        <v>801.12199999999996</v>
      </c>
      <c r="I285" s="5">
        <v>1976.37</v>
      </c>
      <c r="J285" s="5">
        <v>499.36419999999998</v>
      </c>
      <c r="K285" s="5">
        <v>2032.34</v>
      </c>
      <c r="L285" s="5">
        <v>2726.78</v>
      </c>
      <c r="M285" s="5">
        <v>2736.39</v>
      </c>
      <c r="N285" s="5">
        <v>2694.68</v>
      </c>
      <c r="O285" s="5">
        <v>2868.82</v>
      </c>
      <c r="P285" s="5">
        <v>1813.85</v>
      </c>
      <c r="Q285" s="5">
        <v>739.08</v>
      </c>
      <c r="R285" s="5">
        <v>2238.83</v>
      </c>
      <c r="S285" s="5">
        <v>1751.22</v>
      </c>
      <c r="T285" s="5">
        <v>421.84</v>
      </c>
      <c r="U285" s="5">
        <v>862.27</v>
      </c>
      <c r="V285" s="5">
        <v>5185.8779999999997</v>
      </c>
      <c r="W285" s="5">
        <v>14998.93</v>
      </c>
      <c r="X285" s="5">
        <v>18769.165000000001</v>
      </c>
      <c r="Y285" s="5">
        <v>11276.455</v>
      </c>
      <c r="Z285" s="5">
        <v>14643.26</v>
      </c>
      <c r="AA285" s="5">
        <v>6407.3389999999999</v>
      </c>
      <c r="AB285" s="5">
        <v>62058.32</v>
      </c>
      <c r="AC285" s="5">
        <v>1152.27</v>
      </c>
      <c r="AD285" s="5">
        <v>176.9417</v>
      </c>
    </row>
    <row r="286" spans="5:30" ht="15">
      <c r="E286" s="9">
        <v>42766</v>
      </c>
      <c r="F286" s="5">
        <v>199.83</v>
      </c>
      <c r="G286" s="5">
        <v>488.47649999999999</v>
      </c>
      <c r="H286" s="5">
        <v>802.92060000000004</v>
      </c>
      <c r="I286" s="5">
        <v>1980.25</v>
      </c>
      <c r="J286" s="5">
        <v>497.5453</v>
      </c>
      <c r="K286" s="5">
        <v>2031.65</v>
      </c>
      <c r="L286" s="5">
        <v>2735.18</v>
      </c>
      <c r="M286" s="5">
        <v>2743.93</v>
      </c>
      <c r="N286" s="5">
        <v>2703.68</v>
      </c>
      <c r="O286" s="5">
        <v>2882.06</v>
      </c>
      <c r="P286" s="5">
        <v>1840.19</v>
      </c>
      <c r="Q286" s="5">
        <v>749.69</v>
      </c>
      <c r="R286" s="5">
        <v>2278.87</v>
      </c>
      <c r="S286" s="5">
        <v>1792.4</v>
      </c>
      <c r="T286" s="5">
        <v>433.13</v>
      </c>
      <c r="U286" s="5">
        <v>909.23</v>
      </c>
      <c r="V286" s="5">
        <v>5224.8389999999999</v>
      </c>
      <c r="W286" s="5">
        <v>15221.752</v>
      </c>
      <c r="X286" s="5">
        <v>19118.981</v>
      </c>
      <c r="Y286" s="5">
        <v>11421.254999999999</v>
      </c>
      <c r="Z286" s="5">
        <v>14577.531999999999</v>
      </c>
      <c r="AA286" s="5">
        <v>6423.2659999999996</v>
      </c>
      <c r="AB286" s="5">
        <v>61555.89</v>
      </c>
      <c r="AC286" s="5">
        <v>1210.6500000000001</v>
      </c>
      <c r="AD286" s="5">
        <v>177.1814</v>
      </c>
    </row>
    <row r="287" spans="5:30" ht="15">
      <c r="E287" s="9">
        <v>42794</v>
      </c>
      <c r="F287" s="5">
        <v>199.92</v>
      </c>
      <c r="G287" s="5">
        <v>488.96010000000001</v>
      </c>
      <c r="H287" s="5">
        <v>806.86509999999998</v>
      </c>
      <c r="I287" s="5">
        <v>1993.56</v>
      </c>
      <c r="J287" s="5">
        <v>501.80459999999999</v>
      </c>
      <c r="K287" s="5">
        <v>2041.37</v>
      </c>
      <c r="L287" s="5">
        <v>2766.55</v>
      </c>
      <c r="M287" s="5">
        <v>2777.35</v>
      </c>
      <c r="N287" s="5">
        <v>2731.31</v>
      </c>
      <c r="O287" s="5">
        <v>2913.56</v>
      </c>
      <c r="P287" s="5">
        <v>1866.97</v>
      </c>
      <c r="Q287" s="5">
        <v>765.25</v>
      </c>
      <c r="R287" s="5">
        <v>2363.64</v>
      </c>
      <c r="S287" s="5">
        <v>1838.7</v>
      </c>
      <c r="T287" s="5">
        <v>444.5</v>
      </c>
      <c r="U287" s="5">
        <v>936.37</v>
      </c>
      <c r="V287" s="5">
        <v>5270.4189999999999</v>
      </c>
      <c r="W287" s="5">
        <v>15340.53</v>
      </c>
      <c r="X287" s="5">
        <v>19327.614000000001</v>
      </c>
      <c r="Y287" s="5">
        <v>11491.656999999999</v>
      </c>
      <c r="Z287" s="5">
        <v>14693.677</v>
      </c>
      <c r="AA287" s="5">
        <v>6687.3379999999997</v>
      </c>
      <c r="AB287" s="5">
        <v>62575.65</v>
      </c>
      <c r="AC287" s="5">
        <v>1248.33</v>
      </c>
      <c r="AD287" s="5">
        <v>177.5513</v>
      </c>
    </row>
    <row r="288" spans="5:30" ht="15">
      <c r="E288" s="9">
        <v>42825</v>
      </c>
      <c r="F288" s="5">
        <v>199.93</v>
      </c>
      <c r="G288" s="5">
        <v>489.13139999999999</v>
      </c>
      <c r="H288" s="5">
        <v>806.45640000000003</v>
      </c>
      <c r="I288" s="5">
        <v>1992.51</v>
      </c>
      <c r="J288" s="5">
        <v>501.57310000000001</v>
      </c>
      <c r="K288" s="5">
        <v>2041.95</v>
      </c>
      <c r="L288" s="5">
        <v>2760.12</v>
      </c>
      <c r="M288" s="5">
        <v>2769.92</v>
      </c>
      <c r="N288" s="5">
        <v>2729.15</v>
      </c>
      <c r="O288" s="5">
        <v>2896.75</v>
      </c>
      <c r="P288" s="5">
        <v>1862.81</v>
      </c>
      <c r="Q288" s="5">
        <v>767.91</v>
      </c>
      <c r="R288" s="5">
        <v>2362.7199999999998</v>
      </c>
      <c r="S288" s="5">
        <v>1853.69</v>
      </c>
      <c r="T288" s="5">
        <v>448.87</v>
      </c>
      <c r="U288" s="5">
        <v>958.37</v>
      </c>
      <c r="V288" s="5">
        <v>5284.2269999999999</v>
      </c>
      <c r="W288" s="5">
        <v>15364.123</v>
      </c>
      <c r="X288" s="5">
        <v>19496.115000000002</v>
      </c>
      <c r="Y288" s="5">
        <v>11526.587</v>
      </c>
      <c r="Z288" s="5">
        <v>14628.624</v>
      </c>
      <c r="AA288" s="5">
        <v>6599.9669999999996</v>
      </c>
      <c r="AB288" s="5">
        <v>63554.92</v>
      </c>
      <c r="AC288" s="5">
        <v>1249.3499999999999</v>
      </c>
      <c r="AD288" s="5">
        <v>172.82579999999999</v>
      </c>
    </row>
    <row r="289" spans="5:30" ht="15">
      <c r="E289" s="9">
        <v>42853</v>
      </c>
      <c r="F289" s="5">
        <v>200.06</v>
      </c>
      <c r="G289" s="5">
        <v>489.79070000000002</v>
      </c>
      <c r="H289" s="5">
        <v>812.01080000000002</v>
      </c>
      <c r="I289" s="5">
        <v>2007.89</v>
      </c>
      <c r="J289" s="5">
        <v>504.97449999999998</v>
      </c>
      <c r="K289" s="5">
        <v>2055.27</v>
      </c>
      <c r="L289" s="5">
        <v>2789.61</v>
      </c>
      <c r="M289" s="5">
        <v>2801.46</v>
      </c>
      <c r="N289" s="5">
        <v>2754.29</v>
      </c>
      <c r="O289" s="5">
        <v>2929.04</v>
      </c>
      <c r="P289" s="5">
        <v>1884.32</v>
      </c>
      <c r="Q289" s="5">
        <v>780.44</v>
      </c>
      <c r="R289" s="5">
        <v>2384.1999999999998</v>
      </c>
      <c r="S289" s="5">
        <v>1878.28</v>
      </c>
      <c r="T289" s="5">
        <v>455.17</v>
      </c>
      <c r="U289" s="5">
        <v>977.96</v>
      </c>
      <c r="V289" s="5">
        <v>5305.2389999999996</v>
      </c>
      <c r="W289" s="5">
        <v>15498.821</v>
      </c>
      <c r="X289" s="5">
        <v>19641.294000000002</v>
      </c>
      <c r="Y289" s="5">
        <v>11558.939</v>
      </c>
      <c r="Z289" s="5">
        <v>14648.539000000001</v>
      </c>
      <c r="AA289" s="5">
        <v>6640.2569999999996</v>
      </c>
      <c r="AB289" s="5">
        <v>64157.22</v>
      </c>
      <c r="AC289" s="5">
        <v>1268.29</v>
      </c>
      <c r="AD289" s="5">
        <v>170.22370000000001</v>
      </c>
    </row>
    <row r="290" spans="5:30" ht="15">
      <c r="E290" s="9">
        <v>42886</v>
      </c>
      <c r="F290" s="5">
        <v>200.16</v>
      </c>
      <c r="G290" s="5">
        <v>490.40620000000001</v>
      </c>
      <c r="H290" s="5">
        <v>817.29020000000003</v>
      </c>
      <c r="I290" s="5">
        <v>2023.34</v>
      </c>
      <c r="J290" s="5">
        <v>507.92189999999999</v>
      </c>
      <c r="K290" s="5">
        <v>2068.0300000000002</v>
      </c>
      <c r="L290" s="5">
        <v>2821.68</v>
      </c>
      <c r="M290" s="5">
        <v>2835.33</v>
      </c>
      <c r="N290" s="5">
        <v>2781.46</v>
      </c>
      <c r="O290" s="5">
        <v>2968.84</v>
      </c>
      <c r="P290" s="5">
        <v>1900.7</v>
      </c>
      <c r="Q290" s="5">
        <v>786.91</v>
      </c>
      <c r="R290" s="5">
        <v>2411.8000000000002</v>
      </c>
      <c r="S290" s="5">
        <v>1911.74</v>
      </c>
      <c r="T290" s="5">
        <v>463.79</v>
      </c>
      <c r="U290" s="5">
        <v>1005.33</v>
      </c>
      <c r="V290" s="5">
        <v>5317.93</v>
      </c>
      <c r="W290" s="5">
        <v>15519.83</v>
      </c>
      <c r="X290" s="5">
        <v>19707.448</v>
      </c>
      <c r="Y290" s="5">
        <v>11558.344999999999</v>
      </c>
      <c r="Z290" s="5">
        <v>14661.817999999999</v>
      </c>
      <c r="AA290" s="5">
        <v>6627.0349999999999</v>
      </c>
      <c r="AB290" s="5">
        <v>63361.55</v>
      </c>
      <c r="AC290" s="5">
        <v>1268.94</v>
      </c>
      <c r="AD290" s="5">
        <v>167.96270000000001</v>
      </c>
    </row>
    <row r="291" spans="5:30" ht="15">
      <c r="E291" s="9">
        <v>42916</v>
      </c>
      <c r="F291" s="5">
        <v>200.31</v>
      </c>
      <c r="G291" s="5">
        <v>489.99560000000002</v>
      </c>
      <c r="H291" s="5">
        <v>815.9787</v>
      </c>
      <c r="I291" s="5">
        <v>2021.31</v>
      </c>
      <c r="J291" s="5">
        <v>506.50029999999998</v>
      </c>
      <c r="K291" s="5">
        <v>2059.7199999999998</v>
      </c>
      <c r="L291" s="5">
        <v>2830.31</v>
      </c>
      <c r="M291" s="5">
        <v>2844.75</v>
      </c>
      <c r="N291" s="5">
        <v>2787.56</v>
      </c>
      <c r="O291" s="5">
        <v>2982.5</v>
      </c>
      <c r="P291" s="5">
        <v>1903.27</v>
      </c>
      <c r="Q291" s="5">
        <v>784.89</v>
      </c>
      <c r="R291" s="5">
        <v>2423.41</v>
      </c>
      <c r="S291" s="5">
        <v>1916.43</v>
      </c>
      <c r="T291" s="5">
        <v>465.09</v>
      </c>
      <c r="U291" s="5">
        <v>1010.8</v>
      </c>
      <c r="V291" s="5">
        <v>5304.1469999999999</v>
      </c>
      <c r="W291" s="5">
        <v>15598.662</v>
      </c>
      <c r="X291" s="5">
        <v>19874.946</v>
      </c>
      <c r="Y291" s="5">
        <v>11580.781999999999</v>
      </c>
      <c r="Z291" s="5">
        <v>14533.058000000001</v>
      </c>
      <c r="AA291" s="5">
        <v>6759.28</v>
      </c>
      <c r="AB291" s="5">
        <v>65688.899999999994</v>
      </c>
      <c r="AC291" s="5">
        <v>1241.55</v>
      </c>
      <c r="AD291" s="5">
        <v>167.63990000000001</v>
      </c>
    </row>
    <row r="292" spans="5:30" ht="15">
      <c r="E292" s="9">
        <v>42947</v>
      </c>
      <c r="F292" s="5">
        <v>200.48</v>
      </c>
      <c r="G292" s="5">
        <v>491.0498</v>
      </c>
      <c r="H292" s="5">
        <v>817.33069999999998</v>
      </c>
      <c r="I292" s="5">
        <v>2030.01</v>
      </c>
      <c r="J292" s="5">
        <v>508.16539999999998</v>
      </c>
      <c r="K292" s="5">
        <v>2069.0300000000002</v>
      </c>
      <c r="L292" s="5">
        <v>2851.01</v>
      </c>
      <c r="M292" s="5">
        <v>2865.23</v>
      </c>
      <c r="N292" s="5">
        <v>2807.98</v>
      </c>
      <c r="O292" s="5">
        <v>3007.22</v>
      </c>
      <c r="P292" s="5">
        <v>1924.35</v>
      </c>
      <c r="Q292" s="5">
        <v>790.05</v>
      </c>
      <c r="R292" s="5">
        <v>2470.3000000000002</v>
      </c>
      <c r="S292" s="5">
        <v>1961.1</v>
      </c>
      <c r="T292" s="5">
        <v>477.58</v>
      </c>
      <c r="U292" s="5">
        <v>1066.23</v>
      </c>
      <c r="V292" s="5">
        <v>5352.04</v>
      </c>
      <c r="W292" s="5">
        <v>15728.405000000001</v>
      </c>
      <c r="X292" s="5">
        <v>20166.798999999999</v>
      </c>
      <c r="Y292" s="5">
        <v>11662.468000000001</v>
      </c>
      <c r="Z292" s="5">
        <v>14626.146000000001</v>
      </c>
      <c r="AA292" s="5">
        <v>6841.5140000000001</v>
      </c>
      <c r="AB292" s="5">
        <v>65679.710000000006</v>
      </c>
      <c r="AC292" s="5">
        <v>1269.43</v>
      </c>
      <c r="AD292" s="5">
        <v>171.43039999999999</v>
      </c>
    </row>
    <row r="293" spans="5:30" ht="15">
      <c r="E293" s="9">
        <v>42978</v>
      </c>
      <c r="F293" s="5">
        <v>200.69</v>
      </c>
      <c r="G293" s="5">
        <v>491.98360000000002</v>
      </c>
      <c r="H293" s="5">
        <v>826.10320000000002</v>
      </c>
      <c r="I293" s="5">
        <v>2048.21</v>
      </c>
      <c r="J293" s="5">
        <v>512.79639999999995</v>
      </c>
      <c r="K293" s="5">
        <v>2084.15</v>
      </c>
      <c r="L293" s="5">
        <v>2873.15</v>
      </c>
      <c r="M293" s="5">
        <v>2884.97</v>
      </c>
      <c r="N293" s="5">
        <v>2829.87</v>
      </c>
      <c r="O293" s="5">
        <v>3053.96</v>
      </c>
      <c r="P293" s="5">
        <v>1923.6</v>
      </c>
      <c r="Q293" s="5">
        <v>803.7</v>
      </c>
      <c r="R293" s="5">
        <v>2471.65</v>
      </c>
      <c r="S293" s="5">
        <v>1959.74</v>
      </c>
      <c r="T293" s="5">
        <v>478.41</v>
      </c>
      <c r="U293" s="5">
        <v>1087.7</v>
      </c>
      <c r="V293" s="5">
        <v>5403.1710000000003</v>
      </c>
      <c r="W293" s="5">
        <v>15721.666999999999</v>
      </c>
      <c r="X293" s="5">
        <v>20288.827000000001</v>
      </c>
      <c r="Y293" s="5">
        <v>11680.933999999999</v>
      </c>
      <c r="Z293" s="5">
        <v>14741.620999999999</v>
      </c>
      <c r="AA293" s="5">
        <v>6888.9790000000003</v>
      </c>
      <c r="AB293" s="5">
        <v>64635.79</v>
      </c>
      <c r="AC293" s="5">
        <v>1321.4</v>
      </c>
      <c r="AD293" s="5">
        <v>172.12139999999999</v>
      </c>
    </row>
    <row r="294" spans="5:30" ht="15">
      <c r="E294" s="9">
        <v>43007</v>
      </c>
      <c r="F294" s="5">
        <v>200.85</v>
      </c>
      <c r="G294" s="5">
        <v>491.15629999999999</v>
      </c>
      <c r="H294" s="5">
        <v>819.08040000000005</v>
      </c>
      <c r="I294" s="5">
        <v>2038.46</v>
      </c>
      <c r="J294" s="5">
        <v>510.42919999999998</v>
      </c>
      <c r="K294" s="5">
        <v>2079.48</v>
      </c>
      <c r="L294" s="5">
        <v>2868.16</v>
      </c>
      <c r="M294" s="5">
        <v>2882.65</v>
      </c>
      <c r="N294" s="5">
        <v>2823.73</v>
      </c>
      <c r="O294" s="5">
        <v>3029.37</v>
      </c>
      <c r="P294" s="5">
        <v>1940.87</v>
      </c>
      <c r="Q294" s="5">
        <v>803.6</v>
      </c>
      <c r="R294" s="5">
        <v>2519.36</v>
      </c>
      <c r="S294" s="5">
        <v>2000.55</v>
      </c>
      <c r="T294" s="5">
        <v>486.88</v>
      </c>
      <c r="U294" s="5">
        <v>1081.72</v>
      </c>
      <c r="V294" s="5">
        <v>5430.5370000000003</v>
      </c>
      <c r="W294" s="5">
        <v>15833.404</v>
      </c>
      <c r="X294" s="5">
        <v>20572.704000000002</v>
      </c>
      <c r="Y294" s="5">
        <v>11730.933000000001</v>
      </c>
      <c r="Z294" s="5">
        <v>14613.785</v>
      </c>
      <c r="AA294" s="5">
        <v>6843.9790000000003</v>
      </c>
      <c r="AB294" s="5">
        <v>69868.759999999995</v>
      </c>
      <c r="AC294" s="5">
        <v>1280.1500000000001</v>
      </c>
      <c r="AD294" s="5">
        <v>171.8648</v>
      </c>
    </row>
    <row r="295" spans="5:30" ht="15">
      <c r="E295" s="9">
        <v>43039</v>
      </c>
      <c r="F295" s="5">
        <v>201.01</v>
      </c>
      <c r="G295" s="5">
        <v>490.84059999999999</v>
      </c>
      <c r="H295" s="5">
        <v>818.09630000000004</v>
      </c>
      <c r="I295" s="5">
        <v>2039.64</v>
      </c>
      <c r="J295" s="5">
        <v>512.58199999999999</v>
      </c>
      <c r="K295" s="5">
        <v>2078.83</v>
      </c>
      <c r="L295" s="5">
        <v>2879.74</v>
      </c>
      <c r="M295" s="5">
        <v>2895.01</v>
      </c>
      <c r="N295" s="5">
        <v>2832.36</v>
      </c>
      <c r="O295" s="5">
        <v>3048.22</v>
      </c>
      <c r="P295" s="5">
        <v>1949.07</v>
      </c>
      <c r="Q295" s="5">
        <v>805.04</v>
      </c>
      <c r="R295" s="5">
        <v>2575.2600000000002</v>
      </c>
      <c r="S295" s="5">
        <v>2036.8</v>
      </c>
      <c r="T295" s="5">
        <v>496.62</v>
      </c>
      <c r="U295" s="5">
        <v>1119.08</v>
      </c>
      <c r="V295" s="5">
        <v>5497.1930000000002</v>
      </c>
      <c r="W295" s="5">
        <v>15900.674000000001</v>
      </c>
      <c r="X295" s="5">
        <v>20788.236000000001</v>
      </c>
      <c r="Y295" s="5">
        <v>11751.012000000001</v>
      </c>
      <c r="Z295" s="5">
        <v>14901.084000000001</v>
      </c>
      <c r="AA295" s="5">
        <v>6839.0739999999996</v>
      </c>
      <c r="AB295" s="5">
        <v>69478.66</v>
      </c>
      <c r="AC295" s="5">
        <v>1271.08</v>
      </c>
      <c r="AD295" s="5">
        <v>175.55019999999999</v>
      </c>
    </row>
    <row r="296" spans="5:30" ht="15">
      <c r="E296" s="9">
        <v>43069</v>
      </c>
      <c r="F296" s="5">
        <v>201.16</v>
      </c>
      <c r="G296" s="5">
        <v>489.83780000000002</v>
      </c>
      <c r="H296" s="5">
        <v>817.01340000000005</v>
      </c>
      <c r="I296" s="5">
        <v>2037.02</v>
      </c>
      <c r="J296" s="5">
        <v>513.37609999999995</v>
      </c>
      <c r="K296" s="5">
        <v>2075.83</v>
      </c>
      <c r="L296" s="5">
        <v>2875.55</v>
      </c>
      <c r="M296" s="5">
        <v>2889.51</v>
      </c>
      <c r="N296" s="5">
        <v>2828.94</v>
      </c>
      <c r="O296" s="5">
        <v>3052.45</v>
      </c>
      <c r="P296" s="5">
        <v>1944.09</v>
      </c>
      <c r="Q296" s="5">
        <v>802.89</v>
      </c>
      <c r="R296" s="5">
        <v>2647.58</v>
      </c>
      <c r="S296" s="5">
        <v>2077.36</v>
      </c>
      <c r="T296" s="5">
        <v>505.44</v>
      </c>
      <c r="U296" s="5">
        <v>1120.79</v>
      </c>
      <c r="V296" s="5">
        <v>5493.59</v>
      </c>
      <c r="W296" s="5">
        <v>15922.777</v>
      </c>
      <c r="X296" s="5">
        <v>20990.402999999998</v>
      </c>
      <c r="Y296" s="5">
        <v>11759.612999999999</v>
      </c>
      <c r="Z296" s="5">
        <v>14872.476000000001</v>
      </c>
      <c r="AA296" s="5">
        <v>7012.1679999999997</v>
      </c>
      <c r="AB296" s="5">
        <v>71343.72</v>
      </c>
      <c r="AC296" s="5">
        <v>1274.94</v>
      </c>
      <c r="AD296" s="5">
        <v>174.74039999999999</v>
      </c>
    </row>
    <row r="297" spans="5:30" ht="15">
      <c r="E297" s="9">
        <v>43098</v>
      </c>
      <c r="F297" s="5">
        <v>201.35</v>
      </c>
      <c r="G297" s="5">
        <v>489.89080000000001</v>
      </c>
      <c r="H297" s="5">
        <v>819.53880000000004</v>
      </c>
      <c r="I297" s="5">
        <v>2046.37</v>
      </c>
      <c r="J297" s="5">
        <v>514.52369999999996</v>
      </c>
      <c r="K297" s="5">
        <v>2082.61</v>
      </c>
      <c r="L297" s="5">
        <v>2901.78</v>
      </c>
      <c r="M297" s="5">
        <v>2920.11</v>
      </c>
      <c r="N297" s="5">
        <v>2845.47</v>
      </c>
      <c r="O297" s="5">
        <v>3086.42</v>
      </c>
      <c r="P297" s="5">
        <v>1949.97</v>
      </c>
      <c r="Q297" s="5">
        <v>807.95</v>
      </c>
      <c r="R297" s="5">
        <v>2673.61</v>
      </c>
      <c r="S297" s="5">
        <v>2103.4499999999998</v>
      </c>
      <c r="T297" s="5">
        <v>513.03</v>
      </c>
      <c r="U297" s="5">
        <v>1158.45</v>
      </c>
      <c r="V297" s="5">
        <v>5542.0450000000001</v>
      </c>
      <c r="W297" s="5">
        <v>16136.599</v>
      </c>
      <c r="X297" s="5">
        <v>21262.911</v>
      </c>
      <c r="Y297" s="5">
        <v>11856.236000000001</v>
      </c>
      <c r="Z297" s="5">
        <v>14965.302</v>
      </c>
      <c r="AA297" s="5">
        <v>7002.8370000000004</v>
      </c>
      <c r="AB297" s="5">
        <v>71529.600000000006</v>
      </c>
      <c r="AC297" s="5">
        <v>1303.05</v>
      </c>
      <c r="AD297" s="5">
        <v>179.9572</v>
      </c>
    </row>
    <row r="298" spans="5:30" ht="15">
      <c r="E298" s="9">
        <v>43131</v>
      </c>
      <c r="F298" s="5">
        <v>201.58</v>
      </c>
      <c r="G298" s="5">
        <v>488.45179999999999</v>
      </c>
      <c r="H298" s="5">
        <v>808.52549999999997</v>
      </c>
      <c r="I298" s="5">
        <v>2022.8</v>
      </c>
      <c r="J298" s="5">
        <v>510.85059999999999</v>
      </c>
      <c r="K298" s="5">
        <v>2058.1999999999998</v>
      </c>
      <c r="L298" s="5">
        <v>2874.04</v>
      </c>
      <c r="M298" s="5">
        <v>2893.88</v>
      </c>
      <c r="N298" s="5">
        <v>2818.04</v>
      </c>
      <c r="O298" s="5">
        <v>3042.21</v>
      </c>
      <c r="P298" s="5">
        <v>1961.66</v>
      </c>
      <c r="Q298" s="5">
        <v>806.37</v>
      </c>
      <c r="R298" s="5">
        <v>2823.81</v>
      </c>
      <c r="S298" s="5">
        <v>2213.2399999999998</v>
      </c>
      <c r="T298" s="5">
        <v>541.66999999999996</v>
      </c>
      <c r="U298" s="5">
        <v>1254.5899999999999</v>
      </c>
      <c r="V298" s="5">
        <v>5674.3850000000002</v>
      </c>
      <c r="W298" s="5">
        <v>16342.723</v>
      </c>
      <c r="X298" s="5">
        <v>21866.993999999999</v>
      </c>
      <c r="Y298" s="5">
        <v>11992.679</v>
      </c>
      <c r="Z298" s="5">
        <v>15377.066999999999</v>
      </c>
      <c r="AA298" s="5">
        <v>6779.91</v>
      </c>
      <c r="AB298" s="5">
        <v>72658.05</v>
      </c>
      <c r="AC298" s="5">
        <v>1345.15</v>
      </c>
      <c r="AD298" s="5">
        <v>183.53100000000001</v>
      </c>
    </row>
    <row r="299" spans="5:30" ht="15">
      <c r="E299" s="9">
        <v>43159</v>
      </c>
      <c r="F299" s="5">
        <v>201.74</v>
      </c>
      <c r="G299" s="5">
        <v>488.2604</v>
      </c>
      <c r="H299" s="5">
        <v>802.44910000000004</v>
      </c>
      <c r="I299" s="5">
        <v>2003.63</v>
      </c>
      <c r="J299" s="5">
        <v>509.69880000000001</v>
      </c>
      <c r="K299" s="5">
        <v>2044.7</v>
      </c>
      <c r="L299" s="5">
        <v>2827.38</v>
      </c>
      <c r="M299" s="5">
        <v>2842.4</v>
      </c>
      <c r="N299" s="5">
        <v>2782.57</v>
      </c>
      <c r="O299" s="5">
        <v>2983.03</v>
      </c>
      <c r="P299" s="5">
        <v>1944.99</v>
      </c>
      <c r="Q299" s="5">
        <v>790.57</v>
      </c>
      <c r="R299" s="5">
        <v>2713.83</v>
      </c>
      <c r="S299" s="5">
        <v>2117.9899999999998</v>
      </c>
      <c r="T299" s="5">
        <v>518.08000000000004</v>
      </c>
      <c r="U299" s="5">
        <v>1195.19</v>
      </c>
      <c r="V299" s="5">
        <v>5573.6130000000003</v>
      </c>
      <c r="W299" s="5">
        <v>16236.387000000001</v>
      </c>
      <c r="X299" s="5">
        <v>21464.098000000002</v>
      </c>
      <c r="Y299" s="5">
        <v>11926.617</v>
      </c>
      <c r="Z299" s="5">
        <v>14807.789000000001</v>
      </c>
      <c r="AA299" s="5">
        <v>6302.598</v>
      </c>
      <c r="AB299" s="5">
        <v>70334.31</v>
      </c>
      <c r="AC299" s="5">
        <v>1318.38</v>
      </c>
      <c r="AD299" s="5">
        <v>180.3569</v>
      </c>
    </row>
    <row r="300" spans="5:30" ht="15">
      <c r="E300" s="9">
        <v>43189</v>
      </c>
      <c r="F300" s="5">
        <v>202.01</v>
      </c>
      <c r="G300" s="5">
        <v>489.21199999999999</v>
      </c>
      <c r="H300" s="5">
        <v>809.94269999999995</v>
      </c>
      <c r="I300" s="5">
        <v>2016.48</v>
      </c>
      <c r="J300" s="5">
        <v>513.92470000000003</v>
      </c>
      <c r="K300" s="5">
        <v>2057.7600000000002</v>
      </c>
      <c r="L300" s="5">
        <v>2834.54</v>
      </c>
      <c r="M300" s="5">
        <v>2852.64</v>
      </c>
      <c r="N300" s="5">
        <v>2782.54</v>
      </c>
      <c r="O300" s="5">
        <v>2997.77</v>
      </c>
      <c r="P300" s="5">
        <v>1933.24</v>
      </c>
      <c r="Q300" s="5">
        <v>793.55</v>
      </c>
      <c r="R300" s="5">
        <v>2640.87</v>
      </c>
      <c r="S300" s="5">
        <v>2066.84</v>
      </c>
      <c r="T300" s="5">
        <v>505.81</v>
      </c>
      <c r="U300" s="5">
        <v>1170.8800000000001</v>
      </c>
      <c r="V300" s="5">
        <v>5546.1840000000002</v>
      </c>
      <c r="W300" s="5">
        <v>16154.540999999999</v>
      </c>
      <c r="X300" s="5">
        <v>21328.697</v>
      </c>
      <c r="Y300" s="5">
        <v>11904.355</v>
      </c>
      <c r="Z300" s="5">
        <v>14725.814</v>
      </c>
      <c r="AA300" s="5">
        <v>6547.1540000000005</v>
      </c>
      <c r="AB300" s="5">
        <v>72007.81</v>
      </c>
      <c r="AC300" s="5">
        <v>1325</v>
      </c>
      <c r="AD300" s="5">
        <v>179.23599999999999</v>
      </c>
    </row>
    <row r="301" spans="5:30" ht="15">
      <c r="E301" s="9">
        <v>43220</v>
      </c>
      <c r="F301" s="5">
        <v>202.29</v>
      </c>
      <c r="G301" s="5">
        <v>488.4529</v>
      </c>
      <c r="H301" s="5">
        <v>803.50239999999997</v>
      </c>
      <c r="I301" s="5">
        <v>2001.48</v>
      </c>
      <c r="J301" s="5">
        <v>512.01250000000005</v>
      </c>
      <c r="K301" s="5">
        <v>2047.42</v>
      </c>
      <c r="L301" s="5">
        <v>2808.24</v>
      </c>
      <c r="M301" s="5">
        <v>2823.82</v>
      </c>
      <c r="N301" s="5">
        <v>2761.78</v>
      </c>
      <c r="O301" s="5">
        <v>2966.73</v>
      </c>
      <c r="P301" s="5">
        <v>1945.82</v>
      </c>
      <c r="Q301" s="5">
        <v>781.94</v>
      </c>
      <c r="R301" s="5">
        <v>2648.05</v>
      </c>
      <c r="S301" s="5">
        <v>2086.5100000000002</v>
      </c>
      <c r="T301" s="5">
        <v>509.69</v>
      </c>
      <c r="U301" s="5">
        <v>1164.43</v>
      </c>
      <c r="V301" s="5">
        <v>5558.8860000000004</v>
      </c>
      <c r="W301" s="5">
        <v>16203.722</v>
      </c>
      <c r="X301" s="5">
        <v>21399.882000000001</v>
      </c>
      <c r="Y301" s="5">
        <v>11985.558000000001</v>
      </c>
      <c r="Z301" s="5">
        <v>14761.24</v>
      </c>
      <c r="AA301" s="5">
        <v>6580.9430000000002</v>
      </c>
      <c r="AB301" s="5">
        <v>73218.25</v>
      </c>
      <c r="AC301" s="5">
        <v>1315.35</v>
      </c>
      <c r="AD301" s="5">
        <v>183.8683</v>
      </c>
    </row>
    <row r="302" spans="5:30" ht="15">
      <c r="E302" s="9">
        <v>43251</v>
      </c>
      <c r="F302" s="5">
        <v>202.6</v>
      </c>
      <c r="G302" s="5">
        <v>490.18450000000001</v>
      </c>
      <c r="H302" s="5">
        <v>810.68849999999998</v>
      </c>
      <c r="I302" s="5">
        <v>2015.76</v>
      </c>
      <c r="J302" s="5">
        <v>513.92539999999997</v>
      </c>
      <c r="K302" s="5">
        <v>2061.73</v>
      </c>
      <c r="L302" s="5">
        <v>2823.29</v>
      </c>
      <c r="M302" s="5">
        <v>2840.13</v>
      </c>
      <c r="N302" s="5">
        <v>2773.46</v>
      </c>
      <c r="O302" s="5">
        <v>2987.24</v>
      </c>
      <c r="P302" s="5">
        <v>1945.28</v>
      </c>
      <c r="Q302" s="5">
        <v>773.46</v>
      </c>
      <c r="R302" s="5">
        <v>2705.27</v>
      </c>
      <c r="S302" s="5">
        <v>2092.92</v>
      </c>
      <c r="T302" s="5">
        <v>508.77</v>
      </c>
      <c r="U302" s="5">
        <v>1120.71</v>
      </c>
      <c r="V302" s="5">
        <v>5597.7730000000001</v>
      </c>
      <c r="W302" s="5">
        <v>16373.888999999999</v>
      </c>
      <c r="X302" s="5">
        <v>21684.917000000001</v>
      </c>
      <c r="Y302" s="5">
        <v>12061.300999999999</v>
      </c>
      <c r="Z302" s="5">
        <v>14727.42</v>
      </c>
      <c r="AA302" s="5">
        <v>6814.442</v>
      </c>
      <c r="AB302" s="5">
        <v>78513.179999999993</v>
      </c>
      <c r="AC302" s="5">
        <v>1298.52</v>
      </c>
      <c r="AD302" s="5">
        <v>186.47309999999999</v>
      </c>
    </row>
    <row r="303" spans="5:30" ht="15">
      <c r="E303" s="9">
        <v>43280</v>
      </c>
      <c r="F303" s="5">
        <v>202.92</v>
      </c>
      <c r="G303" s="5">
        <v>490.28300000000002</v>
      </c>
      <c r="H303" s="5">
        <v>810.88729999999998</v>
      </c>
      <c r="I303" s="5">
        <v>2013.28</v>
      </c>
      <c r="J303" s="5">
        <v>514.88319999999999</v>
      </c>
      <c r="K303" s="5">
        <v>2062.73</v>
      </c>
      <c r="L303" s="5">
        <v>2806.89</v>
      </c>
      <c r="M303" s="5">
        <v>2820.99</v>
      </c>
      <c r="N303" s="5">
        <v>2764.69</v>
      </c>
      <c r="O303" s="5">
        <v>2957.87</v>
      </c>
      <c r="P303" s="5">
        <v>1953.09</v>
      </c>
      <c r="Q303" s="5">
        <v>765.69</v>
      </c>
      <c r="R303" s="5">
        <v>2718.37</v>
      </c>
      <c r="S303" s="5">
        <v>2089.3000000000002</v>
      </c>
      <c r="T303" s="5">
        <v>505.2</v>
      </c>
      <c r="U303" s="5">
        <v>1069.52</v>
      </c>
      <c r="V303" s="5">
        <v>5581.0280000000002</v>
      </c>
      <c r="W303" s="5">
        <v>16462.608</v>
      </c>
      <c r="X303" s="5">
        <v>21505.483</v>
      </c>
      <c r="Y303" s="5">
        <v>12053.043</v>
      </c>
      <c r="Z303" s="5">
        <v>14698.76</v>
      </c>
      <c r="AA303" s="5">
        <v>7088.39</v>
      </c>
      <c r="AB303" s="5">
        <v>79169.03</v>
      </c>
      <c r="AC303" s="5">
        <v>1253.1600000000001</v>
      </c>
      <c r="AD303" s="5">
        <v>179.9539</v>
      </c>
    </row>
    <row r="304" spans="5:30" ht="15">
      <c r="E304" s="9">
        <v>43312</v>
      </c>
      <c r="F304" s="5">
        <v>203.25</v>
      </c>
      <c r="G304" s="5">
        <v>490.2441</v>
      </c>
      <c r="H304" s="5">
        <v>807.43399999999997</v>
      </c>
      <c r="I304" s="5">
        <v>2013.76</v>
      </c>
      <c r="J304" s="5">
        <v>515.02440000000001</v>
      </c>
      <c r="K304" s="5">
        <v>2060.5500000000002</v>
      </c>
      <c r="L304" s="5">
        <v>2830.22</v>
      </c>
      <c r="M304" s="5">
        <v>2848.86</v>
      </c>
      <c r="N304" s="5">
        <v>2782.68</v>
      </c>
      <c r="O304" s="5">
        <v>2967.11</v>
      </c>
      <c r="P304" s="5">
        <v>1974.4</v>
      </c>
      <c r="Q304" s="5">
        <v>781.47</v>
      </c>
      <c r="R304" s="5">
        <v>2816.29</v>
      </c>
      <c r="S304" s="5">
        <v>2153.1</v>
      </c>
      <c r="T304" s="5">
        <v>519.82000000000005</v>
      </c>
      <c r="U304" s="5">
        <v>1087.46</v>
      </c>
      <c r="V304" s="5">
        <v>5598.3029999999999</v>
      </c>
      <c r="W304" s="5">
        <v>16529.934000000001</v>
      </c>
      <c r="X304" s="5">
        <v>21641.251</v>
      </c>
      <c r="Y304" s="5">
        <v>12170.16</v>
      </c>
      <c r="Z304" s="5">
        <v>14668.668</v>
      </c>
      <c r="AA304" s="5">
        <v>7144.5969999999998</v>
      </c>
      <c r="AB304" s="5">
        <v>79047.509999999995</v>
      </c>
      <c r="AC304" s="5">
        <v>1224.0899999999999</v>
      </c>
      <c r="AD304" s="5">
        <v>176.11320000000001</v>
      </c>
    </row>
    <row r="305" spans="5:30" ht="15">
      <c r="E305" s="9">
        <v>43343</v>
      </c>
      <c r="F305" s="5">
        <v>203.59</v>
      </c>
      <c r="G305" s="5">
        <v>491.81490000000002</v>
      </c>
      <c r="H305" s="5">
        <v>813.55679999999995</v>
      </c>
      <c r="I305" s="5">
        <v>2026.72</v>
      </c>
      <c r="J305" s="5">
        <v>516.60720000000003</v>
      </c>
      <c r="K305" s="5">
        <v>2073.0300000000002</v>
      </c>
      <c r="L305" s="5">
        <v>2844.2</v>
      </c>
      <c r="M305" s="5">
        <v>2859.71</v>
      </c>
      <c r="N305" s="5">
        <v>2800</v>
      </c>
      <c r="O305" s="5">
        <v>2992.92</v>
      </c>
      <c r="P305" s="5">
        <v>1988.96</v>
      </c>
      <c r="Q305" s="5">
        <v>766.45</v>
      </c>
      <c r="R305" s="5">
        <v>2901.52</v>
      </c>
      <c r="S305" s="5">
        <v>2175.5</v>
      </c>
      <c r="T305" s="5">
        <v>522.88</v>
      </c>
      <c r="U305" s="5">
        <v>1055.96</v>
      </c>
      <c r="V305" s="5">
        <v>5653.2839999999997</v>
      </c>
      <c r="W305" s="5">
        <v>16561.192999999999</v>
      </c>
      <c r="X305" s="5">
        <v>21824.577000000001</v>
      </c>
      <c r="Y305" s="5">
        <v>12174.865</v>
      </c>
      <c r="Z305" s="5">
        <v>14802.513999999999</v>
      </c>
      <c r="AA305" s="5">
        <v>7306.8339999999998</v>
      </c>
      <c r="AB305" s="5">
        <v>84158.81</v>
      </c>
      <c r="AC305" s="5">
        <v>1201.4000000000001</v>
      </c>
      <c r="AD305" s="5">
        <v>172.99510000000001</v>
      </c>
    </row>
    <row r="306" spans="5:30" ht="15">
      <c r="E306" s="9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</row>
    <row r="307" spans="5:30" ht="15">
      <c r="E307" s="9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</row>
    <row r="308" spans="5:30" ht="15">
      <c r="E308" s="9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</row>
    <row r="309" spans="5:30" ht="15">
      <c r="E309" s="9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</row>
    <row r="310" spans="5:30" ht="15">
      <c r="E310" s="9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</row>
    <row r="311" spans="5:30" ht="15">
      <c r="E311" s="9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</row>
    <row r="312" spans="5:30" ht="15">
      <c r="E312" s="9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</row>
    <row r="313" spans="5:30" ht="15">
      <c r="E313" s="9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</row>
    <row r="314" spans="5:30" ht="15">
      <c r="E314" s="9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</row>
    <row r="315" spans="5:30" ht="15">
      <c r="E315" s="9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</row>
    <row r="316" spans="5:30" ht="15">
      <c r="E316" s="9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</row>
    <row r="317" spans="5:30" ht="15">
      <c r="E317" s="9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</row>
    <row r="318" spans="5:30" ht="15">
      <c r="E318" s="9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</row>
    <row r="319" spans="5:30" ht="15">
      <c r="E319" s="9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</row>
    <row r="320" spans="5:30" ht="15">
      <c r="E320" s="9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</row>
    <row r="321" spans="5:30" ht="15">
      <c r="E321" s="9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</row>
    <row r="322" spans="5:30" ht="15">
      <c r="E322" s="9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</row>
    <row r="323" spans="5:30" ht="15">
      <c r="E323" s="9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</row>
    <row r="324" spans="5:30" ht="15">
      <c r="E324" s="9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</row>
    <row r="325" spans="5:30" ht="15">
      <c r="E325" s="9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</row>
    <row r="326" spans="5:30" ht="15">
      <c r="E326" s="9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</row>
    <row r="327" spans="5:30" ht="15">
      <c r="E327" s="9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</row>
    <row r="328" spans="5:30" ht="15">
      <c r="E328" s="9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</row>
    <row r="329" spans="5:30" ht="15">
      <c r="E329" s="9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</row>
    <row r="330" spans="5:30" ht="15">
      <c r="E330" s="9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</row>
    <row r="331" spans="5:30" ht="15">
      <c r="E331" s="9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</row>
    <row r="332" spans="5:30" ht="15">
      <c r="E332" s="9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</row>
    <row r="333" spans="5:30" ht="15">
      <c r="E333" s="9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</row>
    <row r="334" spans="5:30" ht="15">
      <c r="E334" s="9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</row>
    <row r="335" spans="5:30" ht="15">
      <c r="E335" s="9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</row>
    <row r="336" spans="5:30" ht="15">
      <c r="E336" s="9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</row>
    <row r="337" spans="5:30" ht="15">
      <c r="E337" s="9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</row>
    <row r="338" spans="5:30" ht="15">
      <c r="E338" s="9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</row>
    <row r="339" spans="5:30" ht="15">
      <c r="E339" s="9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</row>
    <row r="340" spans="5:30" ht="15">
      <c r="E340" s="9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</row>
    <row r="341" spans="5:30" ht="15">
      <c r="E341" s="9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</row>
    <row r="342" spans="5:30" ht="15">
      <c r="E342" s="9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</row>
    <row r="343" spans="5:30" ht="15">
      <c r="E343" s="9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</row>
    <row r="344" spans="5:30" ht="15">
      <c r="E344" s="9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</row>
    <row r="345" spans="5:30" ht="15">
      <c r="E345" s="9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</row>
    <row r="346" spans="5:30" ht="15">
      <c r="E346" s="9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</row>
    <row r="347" spans="5:30" ht="15">
      <c r="E347" s="9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</row>
    <row r="348" spans="5:30" ht="15">
      <c r="E348" s="9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</row>
    <row r="349" spans="5:30" ht="15">
      <c r="E349" s="9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</row>
    <row r="350" spans="5:30" ht="15">
      <c r="E350" s="9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</row>
    <row r="351" spans="5:30" ht="15">
      <c r="E351" s="9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</row>
    <row r="352" spans="5:30" ht="15">
      <c r="E352" s="9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</row>
    <row r="353" spans="5:30" ht="15">
      <c r="E353" s="9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</row>
    <row r="354" spans="5:30" ht="15">
      <c r="E354" s="9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</row>
    <row r="355" spans="5:30" ht="15">
      <c r="E355" s="9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</row>
    <row r="356" spans="5:30" ht="15">
      <c r="E356" s="9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</row>
    <row r="357" spans="5:30" ht="15">
      <c r="E357" s="9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</row>
    <row r="358" spans="5:30" ht="15">
      <c r="E358" s="9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</row>
    <row r="359" spans="5:30" ht="15">
      <c r="E359" s="9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</row>
    <row r="360" spans="5:30" ht="15">
      <c r="E360" s="9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</row>
    <row r="361" spans="5:30" ht="15">
      <c r="E361" s="9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</row>
    <row r="362" spans="5:30" ht="15">
      <c r="E362" s="9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</row>
    <row r="363" spans="5:30" ht="15">
      <c r="E363" s="9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</row>
    <row r="364" spans="5:30" ht="15">
      <c r="E364" s="9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</row>
    <row r="365" spans="5:30" ht="15">
      <c r="E365" s="9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</row>
    <row r="366" spans="5:30" ht="15">
      <c r="E366" s="9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</row>
    <row r="367" spans="5:30" ht="15">
      <c r="E367" s="9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</row>
    <row r="368" spans="5:30" ht="15">
      <c r="E368" s="9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</row>
    <row r="369" spans="5:30" ht="15">
      <c r="E369" s="9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</row>
    <row r="370" spans="5:30" ht="15">
      <c r="E370" s="9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</row>
    <row r="371" spans="5:30" ht="15">
      <c r="E371" s="9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</row>
    <row r="372" spans="5:30" ht="15">
      <c r="E372" s="9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</row>
    <row r="373" spans="5:30" ht="15">
      <c r="E373" s="9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</row>
    <row r="374" spans="5:30" ht="15">
      <c r="E374" s="9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</row>
    <row r="375" spans="5:30" ht="15">
      <c r="E375" s="9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</row>
    <row r="376" spans="5:30" ht="15">
      <c r="E376" s="9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</row>
    <row r="377" spans="5:30" ht="15">
      <c r="E377" s="9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</row>
    <row r="378" spans="5:30" ht="15">
      <c r="E378" s="9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</row>
    <row r="379" spans="5:30" ht="15">
      <c r="E379" s="9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</row>
    <row r="380" spans="5:30" ht="15">
      <c r="E380" s="9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</row>
    <row r="381" spans="5:30" ht="15">
      <c r="E381" s="9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</row>
    <row r="382" spans="5:30" ht="15">
      <c r="E382" s="9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</row>
    <row r="383" spans="5:30" ht="15">
      <c r="E383" s="9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</row>
    <row r="384" spans="5:30" ht="15">
      <c r="E384" s="9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</row>
    <row r="385" spans="5:30" ht="15">
      <c r="E385" s="9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</row>
    <row r="386" spans="5:30" ht="15">
      <c r="E386" s="9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</row>
    <row r="387" spans="5:30" ht="15">
      <c r="E387" s="9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</row>
    <row r="388" spans="5:30" ht="15">
      <c r="E388" s="9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</row>
    <row r="389" spans="5:30" ht="15">
      <c r="E389" s="9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</row>
    <row r="390" spans="5:30" ht="15">
      <c r="E390" s="9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</row>
    <row r="391" spans="5:30" ht="15">
      <c r="E391" s="9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</row>
    <row r="392" spans="5:30" ht="15">
      <c r="E392" s="9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</row>
    <row r="393" spans="5:30" ht="15">
      <c r="E393" s="9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</row>
    <row r="394" spans="5:30" ht="15">
      <c r="E394" s="9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</row>
    <row r="395" spans="5:30" ht="15">
      <c r="E395" s="9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</row>
    <row r="396" spans="5:30" ht="15">
      <c r="E396" s="9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</row>
    <row r="397" spans="5:30" ht="15">
      <c r="E397" s="9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</row>
    <row r="398" spans="5:30" ht="15">
      <c r="E398" s="9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</row>
    <row r="399" spans="5:30" ht="15">
      <c r="E399" s="9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</row>
    <row r="400" spans="5:30" ht="15">
      <c r="E400" s="9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</row>
    <row r="401" spans="5:30" ht="15">
      <c r="E401" s="9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</row>
    <row r="402" spans="5:30" ht="15">
      <c r="E402" s="9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</row>
    <row r="403" spans="5:30" ht="15">
      <c r="E403" s="9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</row>
    <row r="404" spans="5:30" ht="15">
      <c r="E404" s="9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</row>
    <row r="405" spans="5:30" ht="15">
      <c r="E405" s="9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</row>
    <row r="406" spans="5:30" ht="15">
      <c r="E406" s="9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</row>
    <row r="407" spans="5:30" ht="15">
      <c r="E407" s="9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</row>
    <row r="408" spans="5:30" ht="15">
      <c r="E408" s="9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</row>
    <row r="409" spans="5:30" ht="15">
      <c r="E409" s="9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</row>
    <row r="410" spans="5:30" ht="15">
      <c r="E410" s="9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</row>
    <row r="411" spans="5:30" ht="15">
      <c r="E411" s="9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</row>
    <row r="412" spans="5:30" ht="15">
      <c r="E412" s="9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</row>
    <row r="413" spans="5:30" ht="15">
      <c r="E413" s="9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</row>
    <row r="414" spans="5:30" ht="15">
      <c r="E414" s="9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</row>
    <row r="415" spans="5:30" ht="15">
      <c r="E415" s="9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</row>
    <row r="416" spans="5:30" ht="15">
      <c r="E416" s="9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</row>
    <row r="417" spans="5:30" ht="15">
      <c r="E417" s="9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</row>
    <row r="418" spans="5:30" ht="15">
      <c r="E418" s="9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</row>
    <row r="419" spans="5:30" ht="15">
      <c r="E419" s="9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</row>
    <row r="420" spans="5:30" ht="15">
      <c r="E420" s="9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</row>
    <row r="421" spans="5:30" ht="15">
      <c r="E421" s="9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</row>
    <row r="422" spans="5:30" ht="15">
      <c r="E422" s="9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</row>
    <row r="423" spans="5:30" ht="15">
      <c r="E423" s="9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</row>
    <row r="424" spans="5:30" ht="15">
      <c r="E424" s="9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</row>
    <row r="425" spans="5:30" ht="15">
      <c r="E425" s="9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</row>
    <row r="426" spans="5:30" ht="15">
      <c r="E426" s="9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</row>
    <row r="427" spans="5:30" ht="15">
      <c r="E427" s="9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</row>
    <row r="428" spans="5:30" ht="15">
      <c r="E428" s="9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</row>
    <row r="429" spans="5:30" ht="15">
      <c r="E429" s="9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</row>
    <row r="430" spans="5:30" ht="15">
      <c r="E430" s="9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</row>
    <row r="431" spans="5:30" ht="15">
      <c r="E431" s="9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</row>
    <row r="432" spans="5:30" ht="15">
      <c r="E432" s="9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</row>
    <row r="433" spans="5:30" ht="15">
      <c r="E433" s="9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</row>
    <row r="434" spans="5:30" ht="15">
      <c r="E434" s="9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</row>
    <row r="435" spans="5:30" ht="15">
      <c r="E435" s="9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</row>
    <row r="436" spans="5:30" ht="15">
      <c r="E436" s="9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</row>
    <row r="437" spans="5:30" ht="15">
      <c r="E437" s="9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</row>
    <row r="438" spans="5:30" ht="15">
      <c r="E438" s="9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</row>
    <row r="439" spans="5:30" ht="15">
      <c r="E439" s="9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</row>
    <row r="440" spans="5:30" ht="15">
      <c r="E440" s="9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</row>
    <row r="441" spans="5:30" ht="15">
      <c r="E441" s="9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</row>
    <row r="442" spans="5:30" ht="15">
      <c r="E442" s="9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</row>
    <row r="443" spans="5:30" ht="15">
      <c r="E443" s="9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</row>
    <row r="444" spans="5:30" ht="15">
      <c r="E444" s="9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</row>
    <row r="445" spans="5:30" ht="15">
      <c r="E445" s="9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</row>
    <row r="446" spans="5:30" ht="15">
      <c r="E446" s="9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</row>
    <row r="447" spans="5:30" ht="15">
      <c r="E447" s="9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</row>
    <row r="448" spans="5:30" ht="15">
      <c r="E448" s="9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</row>
    <row r="449" spans="5:30" ht="15">
      <c r="E449" s="9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</row>
    <row r="450" spans="5:30" ht="15">
      <c r="E450" s="9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</row>
    <row r="451" spans="5:30" ht="15">
      <c r="E451" s="9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</row>
    <row r="452" spans="5:30" ht="15">
      <c r="E452" s="9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</row>
    <row r="453" spans="5:30" ht="15">
      <c r="E453" s="9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</row>
    <row r="454" spans="5:30" ht="15">
      <c r="E454" s="9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</row>
    <row r="455" spans="5:30" ht="15">
      <c r="E455" s="9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</row>
    <row r="456" spans="5:30" ht="15">
      <c r="E456" s="9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</row>
    <row r="457" spans="5:30" ht="15">
      <c r="E457" s="9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</row>
    <row r="458" spans="5:30" ht="15">
      <c r="E458" s="9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</row>
    <row r="459" spans="5:30" ht="15">
      <c r="E459" s="9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</row>
    <row r="460" spans="5:30" ht="15">
      <c r="E460" s="9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</row>
    <row r="461" spans="5:30" ht="15">
      <c r="E461" s="9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</row>
    <row r="462" spans="5:30" ht="15">
      <c r="E462" s="9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</row>
    <row r="463" spans="5:30" ht="15">
      <c r="E463" s="9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</row>
    <row r="464" spans="5:30" ht="15">
      <c r="E464" s="9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</row>
    <row r="465" spans="5:30" ht="15">
      <c r="E465" s="9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</row>
    <row r="466" spans="5:30" ht="15">
      <c r="E466" s="9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</row>
    <row r="467" spans="5:30" ht="15">
      <c r="E467" s="9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</row>
    <row r="468" spans="5:30" ht="15">
      <c r="E468" s="9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</row>
    <row r="469" spans="5:30" ht="15">
      <c r="E469" s="9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</row>
    <row r="470" spans="5:30" ht="15">
      <c r="E470" s="9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</row>
    <row r="471" spans="5:30" ht="15">
      <c r="E471" s="9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</row>
    <row r="472" spans="5:30" ht="15">
      <c r="E472" s="9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</row>
    <row r="473" spans="5:30" ht="15">
      <c r="E473" s="9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</row>
    <row r="474" spans="5:30" ht="15">
      <c r="E474" s="9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</row>
    <row r="475" spans="5:30" ht="15">
      <c r="E475" s="9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</row>
    <row r="476" spans="5:30" ht="15">
      <c r="E476" s="9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</row>
    <row r="477" spans="5:30" ht="15">
      <c r="E477" s="9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</row>
    <row r="478" spans="5:30" ht="15">
      <c r="E478" s="9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</row>
    <row r="479" spans="5:30" ht="15">
      <c r="E479" s="9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</row>
    <row r="480" spans="5:30" ht="15">
      <c r="E480" s="9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</row>
    <row r="481" spans="5:30" ht="15">
      <c r="E481" s="9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</row>
    <row r="482" spans="5:30" ht="15">
      <c r="E482" s="9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</row>
    <row r="483" spans="5:30" ht="15">
      <c r="E483" s="9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</row>
    <row r="484" spans="5:30" ht="15">
      <c r="E484" s="9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</row>
    <row r="485" spans="5:30" ht="15">
      <c r="E485" s="9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</row>
    <row r="486" spans="5:30" ht="15">
      <c r="E486" s="9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</row>
    <row r="487" spans="5:30" ht="15">
      <c r="E487" s="9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</row>
    <row r="488" spans="5:30" ht="15">
      <c r="E488" s="9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</row>
    <row r="489" spans="5:30" ht="15">
      <c r="E489" s="9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</row>
    <row r="490" spans="5:30" ht="15">
      <c r="E490" s="9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</row>
    <row r="491" spans="5:30" ht="15">
      <c r="E491" s="9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</row>
    <row r="492" spans="5:30" ht="15">
      <c r="E492" s="9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</row>
    <row r="493" spans="5:30" ht="15">
      <c r="E493" s="9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</row>
    <row r="494" spans="5:30" ht="15">
      <c r="E494" s="9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</row>
    <row r="495" spans="5:30" ht="15">
      <c r="E495" s="9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</row>
    <row r="496" spans="5:30" ht="15">
      <c r="E496" s="9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</row>
    <row r="497" spans="5:30" ht="15">
      <c r="E497" s="9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</row>
    <row r="498" spans="5:30" ht="15">
      <c r="E498" s="9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</row>
    <row r="499" spans="5:30" ht="15">
      <c r="E499" s="9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</row>
    <row r="500" spans="5:30" ht="15">
      <c r="E500" s="9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</row>
    <row r="501" spans="5:30" ht="15">
      <c r="E501" s="9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</row>
    <row r="502" spans="5:30" ht="15">
      <c r="E502" s="9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</row>
    <row r="503" spans="5:30" ht="15">
      <c r="E503" s="9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</row>
    <row r="504" spans="5:30" ht="15">
      <c r="E504" s="9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</row>
    <row r="505" spans="5:30" ht="15">
      <c r="E505" s="9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</row>
    <row r="506" spans="5:30" ht="15">
      <c r="E506" s="9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</row>
    <row r="507" spans="5:30" ht="15">
      <c r="E507" s="9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</row>
    <row r="508" spans="5:30" ht="15">
      <c r="E508" s="9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</row>
    <row r="509" spans="5:30" ht="15">
      <c r="E509" s="9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</row>
    <row r="510" spans="5:30" ht="15">
      <c r="E510" s="9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</row>
    <row r="511" spans="5:30" ht="15">
      <c r="E511" s="9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</row>
    <row r="512" spans="5:30" ht="15">
      <c r="E512" s="9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</row>
    <row r="513" spans="5:30" ht="15">
      <c r="E513" s="9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</row>
    <row r="514" spans="5:30" ht="15">
      <c r="E514" s="9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</row>
    <row r="515" spans="5:30" ht="15">
      <c r="E515" s="9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</row>
    <row r="516" spans="5:30" ht="15">
      <c r="E516" s="9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</row>
    <row r="517" spans="5:30" ht="15">
      <c r="E517" s="9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</row>
    <row r="518" spans="5:30" ht="15">
      <c r="E518" s="9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</row>
    <row r="519" spans="5:30" ht="15">
      <c r="E519" s="9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</row>
    <row r="520" spans="5:30" ht="15">
      <c r="E520" s="9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</row>
    <row r="521" spans="5:30" ht="15">
      <c r="E521" s="9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</row>
    <row r="522" spans="5:30" ht="15">
      <c r="E522" s="9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</row>
    <row r="523" spans="5:30" ht="15">
      <c r="E523" s="9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</row>
    <row r="524" spans="5:30" ht="15">
      <c r="E524" s="9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</row>
    <row r="525" spans="5:30" ht="15">
      <c r="E525" s="9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</row>
    <row r="526" spans="5:30" ht="15">
      <c r="E526" s="9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</row>
    <row r="527" spans="5:30" ht="15">
      <c r="E527" s="9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</row>
    <row r="528" spans="5:30" ht="15">
      <c r="E528" s="9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</row>
    <row r="529" spans="5:30" ht="15">
      <c r="E529" s="9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</row>
    <row r="530" spans="5:30" ht="15">
      <c r="E530" s="9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</row>
    <row r="531" spans="5:30" ht="15">
      <c r="E531" s="9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</row>
    <row r="532" spans="5:30" ht="15">
      <c r="E532" s="9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</row>
    <row r="533" spans="5:30" ht="15">
      <c r="E533" s="9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</row>
    <row r="534" spans="5:30" ht="15">
      <c r="E534" s="9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</row>
    <row r="535" spans="5:30" ht="15">
      <c r="E535" s="9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</row>
    <row r="536" spans="5:30" ht="15">
      <c r="E536" s="9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</row>
    <row r="537" spans="5:30" ht="15">
      <c r="E537" s="9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</row>
    <row r="538" spans="5:30" ht="15">
      <c r="E538" s="9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</row>
    <row r="539" spans="5:30" ht="15">
      <c r="E539" s="9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</row>
    <row r="540" spans="5:30" ht="15">
      <c r="E540" s="9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</row>
    <row r="541" spans="5:30" ht="15">
      <c r="E541" s="9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</row>
    <row r="542" spans="5:30" ht="15">
      <c r="E542" s="9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</row>
    <row r="543" spans="5:30" ht="15">
      <c r="E543" s="9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</row>
    <row r="544" spans="5:30" ht="15">
      <c r="E544" s="9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</row>
    <row r="545" spans="5:30" ht="15">
      <c r="E545" s="9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</row>
    <row r="546" spans="5:30" ht="15">
      <c r="E546" s="9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</row>
    <row r="547" spans="5:30" ht="15">
      <c r="E547" s="9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</row>
    <row r="548" spans="5:30" ht="15">
      <c r="E548" s="9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</row>
    <row r="549" spans="5:30" ht="15">
      <c r="E549" s="9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</row>
    <row r="550" spans="5:30" ht="15">
      <c r="E550" s="9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</row>
    <row r="551" spans="5:30" ht="15">
      <c r="E551" s="9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</row>
    <row r="552" spans="5:30" ht="15">
      <c r="E552" s="9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</row>
    <row r="553" spans="5:30" ht="15">
      <c r="E553" s="9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</row>
    <row r="554" spans="5:30" ht="15">
      <c r="E554" s="9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</row>
    <row r="555" spans="5:30" ht="15">
      <c r="E555" s="9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</row>
    <row r="556" spans="5:30" ht="15">
      <c r="E556" s="9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</row>
    <row r="557" spans="5:30" ht="15">
      <c r="E557" s="9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</row>
    <row r="558" spans="5:30" ht="15">
      <c r="E558" s="9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</row>
    <row r="559" spans="5:30" ht="15">
      <c r="E559" s="9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</row>
    <row r="560" spans="5:30" ht="15">
      <c r="E560" s="9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</row>
    <row r="561" spans="5:30" ht="15">
      <c r="E561" s="9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</row>
    <row r="562" spans="5:30" ht="15">
      <c r="E562" s="9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</row>
    <row r="563" spans="5:30" ht="15">
      <c r="E563" s="9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</row>
    <row r="564" spans="5:30" ht="15">
      <c r="E564" s="9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</row>
    <row r="565" spans="5:30" ht="15">
      <c r="E565" s="9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</row>
    <row r="566" spans="5:30" ht="15">
      <c r="E566" s="9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</row>
    <row r="567" spans="5:30" ht="15">
      <c r="E567" s="9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</row>
    <row r="568" spans="5:30" ht="15">
      <c r="E568" s="9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</row>
    <row r="569" spans="5:30" ht="15">
      <c r="E569" s="9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</row>
    <row r="570" spans="5:30" ht="15">
      <c r="E570" s="9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</row>
    <row r="571" spans="5:30" ht="15">
      <c r="E571" s="9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</row>
    <row r="572" spans="5:30" ht="15">
      <c r="E572" s="9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</row>
    <row r="573" spans="5:30" ht="15">
      <c r="E573" s="9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</row>
    <row r="574" spans="5:30" ht="15">
      <c r="E574" s="9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</row>
    <row r="575" spans="5:30" ht="15">
      <c r="E575" s="9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</row>
    <row r="576" spans="5:30" ht="15">
      <c r="E576" s="9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</row>
    <row r="577" spans="5:30" ht="15">
      <c r="E577" s="9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</row>
    <row r="578" spans="5:30" ht="15">
      <c r="E578" s="9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</row>
    <row r="579" spans="5:30" ht="15">
      <c r="E579" s="9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</row>
    <row r="580" spans="5:30" ht="15">
      <c r="E580" s="9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</row>
    <row r="581" spans="5:30" ht="15">
      <c r="E581" s="9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</row>
    <row r="582" spans="5:30" ht="15">
      <c r="E582" s="9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</row>
    <row r="583" spans="5:30" ht="15">
      <c r="E583" s="9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</row>
    <row r="584" spans="5:30" ht="15">
      <c r="E584" s="9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</row>
    <row r="585" spans="5:30" ht="15">
      <c r="E585" s="9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</row>
    <row r="586" spans="5:30" ht="15">
      <c r="E586" s="9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</row>
    <row r="587" spans="5:30" ht="15">
      <c r="E587" s="9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</row>
    <row r="588" spans="5:30" ht="15">
      <c r="E588" s="9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</row>
    <row r="589" spans="5:30" ht="15">
      <c r="E589" s="9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</row>
    <row r="590" spans="5:30" ht="15">
      <c r="E590" s="9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</row>
    <row r="591" spans="5:30" ht="15">
      <c r="E591" s="9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</row>
    <row r="592" spans="5:30" ht="15">
      <c r="E592" s="9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</row>
    <row r="593" spans="5:30" ht="15">
      <c r="E593" s="9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</row>
    <row r="594" spans="5:30" ht="15">
      <c r="E594" s="9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</row>
    <row r="595" spans="5:30" ht="15">
      <c r="E595" s="9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</row>
    <row r="596" spans="5:30" ht="15">
      <c r="E596" s="9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</row>
    <row r="597" spans="5:30" ht="15">
      <c r="E597" s="9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</row>
    <row r="598" spans="5:30" ht="15">
      <c r="E598" s="9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</row>
    <row r="599" spans="5:30" ht="15">
      <c r="E599" s="9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</row>
    <row r="600" spans="5:30" ht="15">
      <c r="E600" s="9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</row>
    <row r="601" spans="5:30" ht="15">
      <c r="E601" s="9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</row>
    <row r="602" spans="5:30" ht="15">
      <c r="E602" s="9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</row>
    <row r="603" spans="5:30" ht="15">
      <c r="E603" s="9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</row>
    <row r="604" spans="5:30" ht="15">
      <c r="E604" s="9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</row>
    <row r="605" spans="5:30" ht="15">
      <c r="E605" s="9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</row>
    <row r="606" spans="5:30" ht="15">
      <c r="E606" s="9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</row>
    <row r="607" spans="5:30" ht="15">
      <c r="E607" s="9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</row>
    <row r="608" spans="5:30" ht="15">
      <c r="E608" s="9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</row>
    <row r="609" spans="5:30" ht="15">
      <c r="E609" s="9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</row>
    <row r="610" spans="5:30" ht="15">
      <c r="E610" s="9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</row>
    <row r="611" spans="5:30" ht="15">
      <c r="E611" s="9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</row>
    <row r="612" spans="5:30" ht="15">
      <c r="E612" s="9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</row>
    <row r="613" spans="5:30" ht="15">
      <c r="E613" s="9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</row>
    <row r="614" spans="5:30" ht="15">
      <c r="E614" s="9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</row>
    <row r="615" spans="5:30" ht="15">
      <c r="E615" s="9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</row>
    <row r="616" spans="5:30" ht="15">
      <c r="E616" s="9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</row>
    <row r="617" spans="5:30" ht="15">
      <c r="E617" s="9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</row>
    <row r="618" spans="5:30" ht="15">
      <c r="E618" s="9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</row>
    <row r="619" spans="5:30" ht="15">
      <c r="E619" s="9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</row>
    <row r="620" spans="5:30" ht="15">
      <c r="E620" s="9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</row>
    <row r="621" spans="5:30" ht="15">
      <c r="E621" s="9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</row>
    <row r="622" spans="5:30" ht="15">
      <c r="E622" s="9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</row>
    <row r="623" spans="5:30" ht="15">
      <c r="E623" s="9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</row>
    <row r="624" spans="5:30" ht="15">
      <c r="E624" s="9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</row>
    <row r="625" spans="5:30" ht="15">
      <c r="E625" s="9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</row>
    <row r="626" spans="5:30" ht="15">
      <c r="E626" s="9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</row>
    <row r="627" spans="5:30" ht="15">
      <c r="E627" s="9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</row>
    <row r="628" spans="5:30" ht="15">
      <c r="E628" s="9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</row>
    <row r="629" spans="5:30" ht="15">
      <c r="E629" s="9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</row>
    <row r="630" spans="5:30" ht="15">
      <c r="E630" s="9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</row>
    <row r="631" spans="5:30" ht="15">
      <c r="E631" s="9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</row>
    <row r="632" spans="5:30" ht="15">
      <c r="E632" s="9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</row>
    <row r="633" spans="5:30" ht="15">
      <c r="E633" s="9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</row>
    <row r="634" spans="5:30" ht="15">
      <c r="E634" s="9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</row>
    <row r="635" spans="5:30" ht="15">
      <c r="E635" s="9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</row>
    <row r="636" spans="5:30" ht="15">
      <c r="E636" s="9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</row>
    <row r="637" spans="5:30" ht="15">
      <c r="E637" s="9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</row>
    <row r="638" spans="5:30" ht="15">
      <c r="E638" s="9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</row>
    <row r="639" spans="5:30" ht="15">
      <c r="E639" s="9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</row>
    <row r="640" spans="5:30" ht="15">
      <c r="E640" s="9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</row>
    <row r="641" spans="5:30" ht="15">
      <c r="E641" s="9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</row>
    <row r="642" spans="5:30" ht="15">
      <c r="E642" s="9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</row>
    <row r="643" spans="5:30" ht="15">
      <c r="E643" s="9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</row>
    <row r="644" spans="5:30" ht="15">
      <c r="E644" s="9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</row>
    <row r="645" spans="5:30" ht="15">
      <c r="E645" s="9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</row>
    <row r="646" spans="5:30" ht="15">
      <c r="E646" s="9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</row>
    <row r="647" spans="5:30" ht="15">
      <c r="E647" s="9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</row>
    <row r="648" spans="5:30" ht="15">
      <c r="E648" s="9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</row>
    <row r="649" spans="5:30" ht="15">
      <c r="E649" s="9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</row>
    <row r="650" spans="5:30" ht="15">
      <c r="E650" s="9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</row>
    <row r="651" spans="5:30" ht="15">
      <c r="E651" s="9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</row>
    <row r="652" spans="5:30" ht="15">
      <c r="E652" s="9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</row>
    <row r="653" spans="5:30" ht="15">
      <c r="E653" s="9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</row>
    <row r="654" spans="5:30" ht="15">
      <c r="E654" s="9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</row>
    <row r="655" spans="5:30" ht="15">
      <c r="E655" s="9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</row>
    <row r="656" spans="5:30" ht="15">
      <c r="E656" s="9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</row>
    <row r="657" spans="5:30" ht="15">
      <c r="E657" s="9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</row>
    <row r="658" spans="5:30" ht="15">
      <c r="E658" s="9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</row>
    <row r="659" spans="5:30" ht="15">
      <c r="E659" s="9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</row>
    <row r="660" spans="5:30" ht="15">
      <c r="E660" s="9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</row>
    <row r="661" spans="5:30" ht="15">
      <c r="E661" s="9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</row>
    <row r="662" spans="5:30" ht="15">
      <c r="E662" s="9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</row>
    <row r="663" spans="5:30" ht="15">
      <c r="E663" s="9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</row>
    <row r="664" spans="5:30" ht="15">
      <c r="E664" s="9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</row>
    <row r="665" spans="5:30" ht="15">
      <c r="E665" s="9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</row>
    <row r="666" spans="5:30" ht="15">
      <c r="E666" s="9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</row>
    <row r="667" spans="5:30" ht="15">
      <c r="E667" s="9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</row>
    <row r="668" spans="5:30" ht="15">
      <c r="E668" s="9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</row>
    <row r="669" spans="5:30" ht="15">
      <c r="E669" s="9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</row>
    <row r="670" spans="5:30" ht="15">
      <c r="E670" s="9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</row>
    <row r="671" spans="5:30" ht="15">
      <c r="E671" s="9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</row>
    <row r="672" spans="5:30" ht="15">
      <c r="E672" s="9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</row>
    <row r="673" spans="5:30" ht="15">
      <c r="E673" s="9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</row>
    <row r="674" spans="5:30" ht="15">
      <c r="E674" s="9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</row>
    <row r="675" spans="5:30" ht="15">
      <c r="E675" s="9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</row>
    <row r="676" spans="5:30" ht="15">
      <c r="E676" s="9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</row>
    <row r="677" spans="5:30" ht="15">
      <c r="E677" s="9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</row>
    <row r="678" spans="5:30" ht="15">
      <c r="E678" s="9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</row>
    <row r="679" spans="5:30" ht="15">
      <c r="E679" s="9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</row>
    <row r="680" spans="5:30" ht="15">
      <c r="E680" s="9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</row>
    <row r="681" spans="5:30" ht="15">
      <c r="E681" s="9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</row>
    <row r="682" spans="5:30" ht="15">
      <c r="E682" s="9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</row>
    <row r="683" spans="5:30" ht="15">
      <c r="E683" s="9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</row>
    <row r="684" spans="5:30" ht="15">
      <c r="E684" s="9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</row>
    <row r="685" spans="5:30" ht="15">
      <c r="E685" s="9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</row>
    <row r="686" spans="5:30" ht="15">
      <c r="E686" s="9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</row>
    <row r="687" spans="5:30" ht="15">
      <c r="E687" s="9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</row>
    <row r="688" spans="5:30" ht="15">
      <c r="E688" s="9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</row>
    <row r="689" spans="5:30" ht="15">
      <c r="E689" s="9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</row>
    <row r="690" spans="5:30" ht="15">
      <c r="E690" s="9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</row>
    <row r="691" spans="5:30" ht="15">
      <c r="E691" s="9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</row>
    <row r="692" spans="5:30" ht="15">
      <c r="E692" s="9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</row>
    <row r="693" spans="5:30" ht="15">
      <c r="E693" s="9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</row>
    <row r="694" spans="5:30" ht="15">
      <c r="E694" s="9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</row>
    <row r="695" spans="5:30" ht="15">
      <c r="E695" s="9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</row>
    <row r="696" spans="5:30" ht="15">
      <c r="E696" s="9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</row>
    <row r="697" spans="5:30" ht="15">
      <c r="E697" s="9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</row>
    <row r="698" spans="5:30" ht="15">
      <c r="E698" s="9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</row>
    <row r="699" spans="5:30" ht="15">
      <c r="E699" s="9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</row>
    <row r="700" spans="5:30" ht="15">
      <c r="E700" s="9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</row>
    <row r="701" spans="5:30" ht="15">
      <c r="E701" s="9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5:30" ht="15">
      <c r="E702" s="9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5:30" ht="15">
      <c r="E703" s="9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5:30" ht="15">
      <c r="E704" s="9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5:30" ht="15">
      <c r="E705" s="9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5:30" ht="15">
      <c r="E706" s="9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5:30" ht="15">
      <c r="E707" s="9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5:30" ht="15">
      <c r="E708" s="9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5:30" ht="15">
      <c r="E709" s="9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5:30" ht="15">
      <c r="E710" s="9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5:30" ht="15">
      <c r="E711" s="9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5:30" ht="15">
      <c r="E712" s="9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5:30" ht="15">
      <c r="E713" s="9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5:30" ht="15">
      <c r="E714" s="9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5:30" ht="15">
      <c r="E715" s="9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5:30" ht="15">
      <c r="E716" s="9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5:30" ht="15">
      <c r="E717" s="9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5:30" ht="15">
      <c r="E718" s="9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5:30" ht="15">
      <c r="E719" s="9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5:30" ht="15">
      <c r="E720" s="9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5:30" ht="15">
      <c r="E721" s="9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5:30" ht="15">
      <c r="E722" s="9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5:30" ht="15">
      <c r="E723" s="9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5:30" ht="15">
      <c r="E724" s="9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5:30" ht="15">
      <c r="E725" s="9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5:30" ht="15">
      <c r="E726" s="9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5:30" ht="15">
      <c r="E727" s="9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5:30" ht="15">
      <c r="E728" s="9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5:30" ht="15">
      <c r="E729" s="9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5:30" ht="15">
      <c r="E730" s="9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5:30" ht="15">
      <c r="E731" s="9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5:30" ht="15">
      <c r="E732" s="9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5:30" ht="15">
      <c r="E733" s="9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5:30" ht="15">
      <c r="E734" s="9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5:30" ht="15">
      <c r="E735" s="9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5:30" ht="15">
      <c r="E736" s="9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5:30" ht="15">
      <c r="E737" s="9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5:30" ht="15">
      <c r="E738" s="9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5:30" ht="15">
      <c r="E739" s="9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5:30" ht="15">
      <c r="E740" s="9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5:30" ht="15">
      <c r="E741" s="9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5:30" ht="15">
      <c r="E742" s="9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5:30" ht="15">
      <c r="E743" s="9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5:30" ht="15">
      <c r="E744" s="9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5:30" ht="15">
      <c r="E745" s="9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5:30" ht="15">
      <c r="E746" s="9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5:30" ht="15">
      <c r="E747" s="9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5:30" ht="15">
      <c r="E748" s="9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5:30" ht="15">
      <c r="E749" s="9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5:30" ht="15">
      <c r="E750" s="9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5:30" ht="15">
      <c r="E751" s="9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5:30" ht="15">
      <c r="E752" s="9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5:30" ht="15">
      <c r="E753" s="9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5:30" ht="15">
      <c r="E754" s="9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5:30" ht="15">
      <c r="E755" s="9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5:30" ht="15">
      <c r="E756" s="9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5:30" ht="15">
      <c r="E757" s="9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5:30" ht="15">
      <c r="E758" s="9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5:30" ht="15">
      <c r="E759" s="9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5:30" ht="15">
      <c r="E760" s="9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5:30" ht="15">
      <c r="E761" s="9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5:30" ht="15">
      <c r="E762" s="9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5:30" ht="15">
      <c r="E763" s="9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5:30" ht="15">
      <c r="E764" s="9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5:30" ht="15">
      <c r="E765" s="9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5:30" ht="15">
      <c r="E766" s="9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5:30" ht="15">
      <c r="E767" s="9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5:30" ht="15">
      <c r="E768" s="9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5:30" ht="15">
      <c r="E769" s="9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5:30" ht="15">
      <c r="E770" s="9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5:30" ht="15">
      <c r="E771" s="9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5:30" ht="15">
      <c r="E772" s="9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5:30" ht="15">
      <c r="E773" s="9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5:30" ht="15">
      <c r="E774" s="9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5:30" ht="15">
      <c r="E775" s="9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5:30" ht="15">
      <c r="E776" s="9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5:30" ht="15">
      <c r="E777" s="9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5:30" ht="15">
      <c r="E778" s="9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5:30" ht="15">
      <c r="E779" s="9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5:30" ht="15">
      <c r="E780" s="9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5:30" ht="15">
      <c r="E781" s="9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5:30" ht="15">
      <c r="E782" s="9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5:30" ht="15">
      <c r="E783" s="9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5:30" ht="15">
      <c r="E784" s="9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5:30" ht="15">
      <c r="E785" s="9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5:30" ht="15">
      <c r="E786" s="9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5:30" ht="15">
      <c r="E787" s="9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5:30" ht="15">
      <c r="E788" s="9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5:30" ht="15">
      <c r="E789" s="9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5:30" ht="15">
      <c r="E790" s="9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5:30" ht="15">
      <c r="E791" s="9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5:30" ht="15">
      <c r="E792" s="9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5:30" ht="15">
      <c r="E793" s="9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5:30" ht="15">
      <c r="E794" s="9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5:30" ht="15">
      <c r="E795" s="9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5:30" ht="15">
      <c r="E796" s="9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5:30" ht="15">
      <c r="E797" s="9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5:30" ht="15">
      <c r="E798" s="9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5:30" ht="15">
      <c r="E799" s="9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5:30" ht="15">
      <c r="E800" s="9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5:30" ht="15">
      <c r="E801" s="9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5:30" ht="15">
      <c r="E802" s="9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5:30" ht="15">
      <c r="E803" s="9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5:30" ht="15">
      <c r="E804" s="9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5:30" ht="15">
      <c r="E805" s="9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5:30" ht="15">
      <c r="E806" s="9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5:30" ht="15">
      <c r="E807" s="9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5:30" ht="15">
      <c r="E808" s="9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5:30" ht="15">
      <c r="E809" s="9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5:30" ht="15">
      <c r="E810" s="9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5:30" ht="15">
      <c r="E811" s="9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5:30" ht="15">
      <c r="E812" s="9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5:30" ht="15">
      <c r="E813" s="9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5:30" ht="15">
      <c r="E814" s="9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5:30" ht="15">
      <c r="E815" s="9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5:30" ht="15">
      <c r="E816" s="9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5:30" ht="15">
      <c r="E817" s="9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5:30" ht="15">
      <c r="E818" s="9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5:30" ht="15">
      <c r="E819" s="9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5:30" ht="15">
      <c r="E820" s="9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5:30" ht="15">
      <c r="E821" s="9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5:30" ht="15">
      <c r="E822" s="9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5:30" ht="15">
      <c r="E823" s="9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5:30" ht="15">
      <c r="E824" s="9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5:30" ht="15">
      <c r="E825" s="9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5:30" ht="15">
      <c r="E826" s="9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5:30" ht="15">
      <c r="E827" s="9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5:30" ht="15">
      <c r="E828" s="9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5:30" ht="15">
      <c r="E829" s="9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5:30" ht="15">
      <c r="E830" s="9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5:30" ht="15">
      <c r="E831" s="9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5:30" ht="15">
      <c r="E832" s="9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5:30" ht="15">
      <c r="E833" s="9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5:30" ht="15">
      <c r="E834" s="9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5:30" ht="15">
      <c r="E835" s="9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5:30" ht="15">
      <c r="E836" s="9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5:30" ht="15">
      <c r="E837" s="9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5:30" ht="15">
      <c r="E838" s="9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5:30" ht="15">
      <c r="E839" s="9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5:30" ht="15">
      <c r="E840" s="9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5:30" ht="15">
      <c r="E841" s="9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5:30" ht="15">
      <c r="E842" s="9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5:30" ht="15">
      <c r="E843" s="9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5:30" ht="15">
      <c r="E844" s="9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5:30" ht="15">
      <c r="E845" s="9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5:30" ht="15">
      <c r="E846" s="9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5:30" ht="15">
      <c r="E847" s="9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5:30" ht="15">
      <c r="E848" s="9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5:30" ht="15">
      <c r="E849" s="9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5:30" ht="15">
      <c r="E850" s="9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5:30" ht="15">
      <c r="E851" s="9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5:30" ht="15">
      <c r="E852" s="9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5:30" ht="15">
      <c r="E853" s="9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5:30" ht="15">
      <c r="E854" s="9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5:30" ht="15">
      <c r="E855" s="9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5:30" ht="15">
      <c r="E856" s="9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5:30" ht="15">
      <c r="E857" s="9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5:30" ht="15">
      <c r="E858" s="9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5:30" ht="15">
      <c r="E859" s="9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5:30" ht="15">
      <c r="E860" s="9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5:30" ht="15">
      <c r="E861" s="9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5:30" ht="15">
      <c r="E862" s="9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5:30" ht="15">
      <c r="E863" s="9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5:30" ht="15">
      <c r="E864" s="9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5:30" ht="15">
      <c r="E865" s="9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5:30" ht="15">
      <c r="E866" s="9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5:30" ht="15">
      <c r="E867" s="9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5:30" ht="15">
      <c r="E868" s="9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5:30" ht="15">
      <c r="E869" s="9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5:30" ht="15">
      <c r="E870" s="9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5:30" ht="15">
      <c r="E871" s="9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5:30" ht="15">
      <c r="E872" s="9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5:30" ht="15">
      <c r="E873" s="9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5:30" ht="15">
      <c r="E874" s="9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5:30" ht="15">
      <c r="E875" s="9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5:30" ht="15">
      <c r="E876" s="9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5:30" ht="15">
      <c r="E877" s="9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5:30" ht="15">
      <c r="E878" s="9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5:30" ht="15">
      <c r="E879" s="9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5:30" ht="15">
      <c r="E880" s="9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5:30" ht="15">
      <c r="E881" s="9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5:30" ht="15">
      <c r="E882" s="9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5:30" ht="15">
      <c r="E883" s="9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5:30" ht="15">
      <c r="E884" s="9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5:30" ht="15">
      <c r="E885" s="9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5:30" ht="15">
      <c r="E886" s="9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5:30" ht="15">
      <c r="E887" s="9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5:30" ht="15">
      <c r="E888" s="9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5:30" ht="15">
      <c r="E889" s="9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5:30" ht="15">
      <c r="E890" s="9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5:30" ht="15">
      <c r="E891" s="9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5:30" ht="15">
      <c r="E892" s="9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5:30" ht="15">
      <c r="E893" s="9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5:30" ht="15">
      <c r="E894" s="9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5:30" ht="15">
      <c r="E895" s="9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5:30" ht="15">
      <c r="E896" s="9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5:30" ht="15">
      <c r="E897" s="9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5:30" ht="15">
      <c r="E898" s="9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5:30" ht="15">
      <c r="E899" s="9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5:30" ht="15">
      <c r="E900" s="9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5:30" ht="15">
      <c r="E901" s="9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5:30" ht="15">
      <c r="E902" s="9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5:30" ht="15">
      <c r="E903" s="9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5:30" ht="15">
      <c r="E904" s="9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5:30" ht="15">
      <c r="E905" s="9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5:30" ht="15">
      <c r="E906" s="9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5:30" ht="15">
      <c r="E907" s="9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5:30" ht="15">
      <c r="E908" s="9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5:30" ht="15">
      <c r="E909" s="9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5:30" ht="15">
      <c r="E910" s="9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5:30" ht="15">
      <c r="E911" s="9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5:30" ht="15">
      <c r="E912" s="9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5:30" ht="15">
      <c r="E913" s="9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5:30" ht="15">
      <c r="E914" s="9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5:30" ht="15">
      <c r="E915" s="9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5:30" ht="15">
      <c r="E916" s="9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5:30" ht="15">
      <c r="E917" s="9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5:30" ht="15">
      <c r="E918" s="9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5:30" ht="15">
      <c r="E919" s="9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5:30" ht="15">
      <c r="E920" s="9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5:30" ht="15">
      <c r="E921" s="9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5:30" ht="15">
      <c r="E922" s="9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5:30" ht="15">
      <c r="E923" s="9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5:30" ht="15">
      <c r="E924" s="9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5:30" ht="15">
      <c r="E925" s="9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5:30" ht="15">
      <c r="E926" s="9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5:30" ht="15">
      <c r="E927" s="9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5:30" ht="15">
      <c r="E928" s="9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5:30" ht="15">
      <c r="E929" s="9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5:30" ht="15">
      <c r="E930" s="9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5:30" ht="15">
      <c r="E931" s="9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5:30" ht="15">
      <c r="E932" s="9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5:30" ht="15">
      <c r="E933" s="9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5:30" ht="15">
      <c r="E934" s="9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5:30" ht="15">
      <c r="E935" s="9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5:30" ht="15">
      <c r="E936" s="9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5:30" ht="15">
      <c r="E937" s="9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5:30" ht="15">
      <c r="E938" s="9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5:30" ht="15">
      <c r="E939" s="9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5:30" ht="15">
      <c r="E940" s="9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5:30" ht="15">
      <c r="E941" s="9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5:30" ht="15">
      <c r="E942" s="9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5:30" ht="15">
      <c r="E943" s="9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5:30" ht="15">
      <c r="E944" s="9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5:30" ht="15">
      <c r="E945" s="9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5:30" ht="15">
      <c r="E946" s="9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5:30" ht="15">
      <c r="E947" s="9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5:30" ht="15">
      <c r="E948" s="9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5:30" ht="15">
      <c r="E949" s="9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5:30" ht="15">
      <c r="E950" s="9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5:30" ht="15">
      <c r="E951" s="9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5:30" ht="15">
      <c r="E952" s="9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5:30" ht="15">
      <c r="E953" s="9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5:30" ht="15">
      <c r="E954" s="9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5:30" ht="15">
      <c r="E955" s="9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5:30" ht="15">
      <c r="E956" s="9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5:30" ht="15">
      <c r="E957" s="9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5:30" ht="15">
      <c r="E958" s="9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5:30" ht="15">
      <c r="E959" s="9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5:30" ht="15">
      <c r="E960" s="9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5:30" ht="15">
      <c r="E961" s="9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5:30" ht="15">
      <c r="E962" s="9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5:30" ht="15">
      <c r="E963" s="9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5:30" ht="15">
      <c r="E964" s="9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5:30" ht="15">
      <c r="E965" s="9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5:30" ht="15">
      <c r="E966" s="9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5:30" ht="15">
      <c r="E967" s="9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5:30" ht="15">
      <c r="E968" s="9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5:30" ht="15">
      <c r="E969" s="9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5:30" ht="15">
      <c r="E970" s="9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5:30" ht="15">
      <c r="E971" s="9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5:30" ht="15">
      <c r="E972" s="9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5:30" ht="15">
      <c r="E973" s="9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5:30" ht="15">
      <c r="E974" s="9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5:30" ht="15">
      <c r="E975" s="9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5:30" ht="15">
      <c r="E976" s="9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5:30" ht="15">
      <c r="E977" s="9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5:30" ht="15">
      <c r="E978" s="9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5:30" ht="15">
      <c r="E979" s="9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5:30" ht="15">
      <c r="E980" s="9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5:30" ht="15">
      <c r="E981" s="9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5:30" ht="15">
      <c r="E982" s="9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5:30" ht="15">
      <c r="E983" s="9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5:30" ht="15">
      <c r="E984" s="9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5:30" ht="15">
      <c r="E985" s="9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5:30" ht="15">
      <c r="E986" s="9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5:30" ht="15">
      <c r="E987" s="9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5:30" ht="15">
      <c r="E988" s="9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5:30" ht="15">
      <c r="E989" s="9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5:30" ht="15">
      <c r="E990" s="9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5:30" ht="15">
      <c r="E991" s="9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5:30" ht="15">
      <c r="E992" s="9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5:30" ht="15">
      <c r="E993" s="9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5:30" ht="15">
      <c r="E994" s="9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5:30" ht="15">
      <c r="E995" s="9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5:30" ht="15">
      <c r="E996" s="9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5:30" ht="15">
      <c r="E997" s="9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5:30" ht="15">
      <c r="E998" s="9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5:30" ht="15">
      <c r="E999" s="9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5:30" ht="15">
      <c r="E1000" s="9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5:30" ht="15">
      <c r="E1001" s="9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</row>
    <row r="1002" spans="5:30" ht="15">
      <c r="E1002" s="9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</row>
    <row r="1003" spans="5:30" ht="15">
      <c r="E1003" s="9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</row>
    <row r="1004" spans="5:30" ht="15">
      <c r="E1004" s="9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</row>
    <row r="1005" spans="5:30" ht="15">
      <c r="E1005" s="9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</row>
    <row r="1006" spans="5:30" ht="15">
      <c r="E1006" s="9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</row>
    <row r="1007" spans="5:30" ht="15">
      <c r="E1007" s="9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</row>
    <row r="1008" spans="5:30" ht="15">
      <c r="E1008" s="9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</row>
    <row r="1009" spans="5:30" ht="15">
      <c r="E1009" s="9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</row>
    <row r="1010" spans="5:30" ht="15">
      <c r="E1010" s="9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</row>
    <row r="1011" spans="5:30" ht="15">
      <c r="E1011" s="9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</row>
    <row r="1012" spans="5:30" ht="15">
      <c r="E1012" s="9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</row>
    <row r="1013" spans="5:30" ht="15">
      <c r="E1013" s="9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</row>
    <row r="1014" spans="5:30" ht="15">
      <c r="E1014" s="9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</row>
    <row r="1015" spans="5:30" ht="15">
      <c r="E1015" s="9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</row>
    <row r="1016" spans="5:30" ht="15">
      <c r="E1016" s="9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</row>
    <row r="1017" spans="5:30" ht="15">
      <c r="E1017" s="9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</row>
    <row r="1018" spans="5:30" ht="15">
      <c r="E1018" s="9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</row>
    <row r="1019" spans="5:30" ht="15">
      <c r="E1019" s="9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</row>
    <row r="1020" spans="5:30" ht="15">
      <c r="E1020" s="9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</row>
    <row r="1021" spans="5:30" ht="15">
      <c r="E1021" s="9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</row>
    <row r="1022" spans="5:30" ht="15">
      <c r="E1022" s="9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</row>
    <row r="1023" spans="5:30" ht="15">
      <c r="E1023" s="9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</row>
    <row r="1024" spans="5:30" ht="15">
      <c r="E1024" s="9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</row>
    <row r="1025" spans="5:30" ht="15">
      <c r="E1025" s="9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</row>
    <row r="1026" spans="5:30" ht="15">
      <c r="E1026" s="9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</row>
    <row r="1027" spans="5:30" ht="15">
      <c r="E1027" s="9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</row>
    <row r="1028" spans="5:30" ht="15">
      <c r="E1028" s="9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</row>
    <row r="1029" spans="5:30" ht="15">
      <c r="E1029" s="9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</row>
    <row r="1030" spans="5:30" ht="15">
      <c r="E1030" s="9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</row>
    <row r="1031" spans="5:30" ht="15">
      <c r="E1031" s="9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</row>
    <row r="1032" spans="5:30" ht="15">
      <c r="E1032" s="9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</row>
    <row r="1033" spans="5:30" ht="15">
      <c r="E1033" s="9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</row>
    <row r="1034" spans="5:30" ht="15">
      <c r="E1034" s="9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</row>
    <row r="1035" spans="5:30" ht="15">
      <c r="E1035" s="9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</row>
    <row r="1036" spans="5:30" ht="15">
      <c r="E1036" s="9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</row>
    <row r="1037" spans="5:30" ht="15">
      <c r="E1037" s="9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</row>
    <row r="1038" spans="5:30" ht="15">
      <c r="E1038" s="9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</row>
    <row r="1039" spans="5:30" ht="15">
      <c r="E1039" s="9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</row>
    <row r="1040" spans="5:30" ht="15">
      <c r="E1040" s="9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</row>
    <row r="1041" spans="5:30" ht="15">
      <c r="E1041" s="9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</row>
    <row r="1042" spans="5:30" ht="15">
      <c r="E1042" s="9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</row>
    <row r="1043" spans="5:30" ht="15">
      <c r="E1043" s="9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</row>
    <row r="1044" spans="5:30" ht="15">
      <c r="E1044" s="9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</row>
    <row r="1045" spans="5:30" ht="15">
      <c r="E1045" s="9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</row>
    <row r="1046" spans="5:30" ht="15">
      <c r="E1046" s="9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</row>
    <row r="1047" spans="5:30" ht="15">
      <c r="E1047" s="9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</row>
    <row r="1048" spans="5:30" ht="15">
      <c r="E1048" s="9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</row>
    <row r="1049" spans="5:30" ht="15">
      <c r="E1049" s="9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</row>
    <row r="1050" spans="5:30" ht="15">
      <c r="E1050" s="9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</row>
    <row r="1051" spans="5:30" ht="15">
      <c r="E1051" s="9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</row>
    <row r="1052" spans="5:30" ht="15">
      <c r="E1052" s="9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</row>
    <row r="1053" spans="5:30" ht="15">
      <c r="E1053" s="9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</row>
    <row r="1054" spans="5:30" ht="15">
      <c r="E1054" s="9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</row>
    <row r="1055" spans="5:30" ht="15">
      <c r="E1055" s="9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</row>
    <row r="1056" spans="5:30" ht="15">
      <c r="E1056" s="9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</row>
    <row r="1057" spans="5:30" ht="15">
      <c r="E1057" s="9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</row>
    <row r="1058" spans="5:30" ht="15">
      <c r="E1058" s="9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</row>
    <row r="1059" spans="5:30" ht="15">
      <c r="E1059" s="9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</row>
    <row r="1060" spans="5:30" ht="15">
      <c r="E1060" s="9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</row>
    <row r="1061" spans="5:30" ht="15">
      <c r="E1061" s="9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</row>
    <row r="1062" spans="5:30" ht="15">
      <c r="E1062" s="9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</row>
    <row r="1063" spans="5:30" ht="15">
      <c r="E1063" s="9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</row>
    <row r="1064" spans="5:30" ht="15">
      <c r="E1064" s="9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</row>
    <row r="1065" spans="5:30" ht="15">
      <c r="E1065" s="9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</row>
    <row r="1066" spans="5:30" ht="15">
      <c r="E1066" s="9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</row>
    <row r="1067" spans="5:30" ht="15">
      <c r="E1067" s="9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</row>
    <row r="1068" spans="5:30" ht="15">
      <c r="E1068" s="9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</row>
    <row r="1069" spans="5:30" ht="15">
      <c r="E1069" s="9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</row>
    <row r="1070" spans="5:30" ht="15">
      <c r="E1070" s="9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</row>
    <row r="1071" spans="5:30" ht="15">
      <c r="E1071" s="9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</row>
    <row r="1072" spans="5:30" ht="15">
      <c r="E1072" s="9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</row>
    <row r="1073" spans="5:30" ht="15">
      <c r="E1073" s="9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</row>
    <row r="1074" spans="5:30" ht="15">
      <c r="E1074" s="9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</row>
    <row r="1075" spans="5:30" ht="15">
      <c r="E1075" s="9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</row>
    <row r="1076" spans="5:30" ht="15">
      <c r="E1076" s="9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</row>
    <row r="1077" spans="5:30" ht="15">
      <c r="E1077" s="9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</row>
    <row r="1078" spans="5:30" ht="15">
      <c r="E1078" s="9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</row>
    <row r="1079" spans="5:30" ht="15">
      <c r="E1079" s="9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</row>
    <row r="1080" spans="5:30" ht="15">
      <c r="E1080" s="9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</row>
    <row r="1081" spans="5:30" ht="15">
      <c r="E1081" s="9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</row>
    <row r="1082" spans="5:30" ht="15">
      <c r="E1082" s="9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</row>
    <row r="1083" spans="5:30" ht="15">
      <c r="E1083" s="9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</row>
    <row r="1084" spans="5:30" ht="15">
      <c r="E1084" s="9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</row>
    <row r="1085" spans="5:30" ht="15">
      <c r="E1085" s="9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</row>
    <row r="1086" spans="5:30" ht="15">
      <c r="E1086" s="9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</row>
    <row r="1087" spans="5:30" ht="15">
      <c r="E1087" s="9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</row>
    <row r="1088" spans="5:30" ht="15">
      <c r="E1088" s="9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</row>
    <row r="1089" spans="5:30" ht="15">
      <c r="E1089" s="9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</row>
    <row r="1090" spans="5:30" ht="15">
      <c r="E1090" s="9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</row>
    <row r="1091" spans="5:30" ht="15">
      <c r="E1091" s="9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</row>
    <row r="1092" spans="5:30" ht="15">
      <c r="E1092" s="9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</row>
    <row r="1093" spans="5:30" ht="15">
      <c r="E1093" s="9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</row>
    <row r="1094" spans="5:30" ht="15">
      <c r="E1094" s="9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</row>
    <row r="1095" spans="5:30" ht="15">
      <c r="E1095" s="9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</row>
    <row r="1096" spans="5:30" ht="15">
      <c r="E1096" s="9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</row>
    <row r="1097" spans="5:30" ht="15">
      <c r="E1097" s="9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</row>
    <row r="1098" spans="5:30" ht="15">
      <c r="E1098" s="9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</row>
    <row r="1099" spans="5:30" ht="15">
      <c r="E1099" s="9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</row>
    <row r="1100" spans="5:30" ht="15">
      <c r="E1100" s="9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</row>
    <row r="1101" spans="5:30" ht="15">
      <c r="E1101" s="9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</row>
    <row r="1102" spans="5:30" ht="15">
      <c r="E1102" s="9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</row>
    <row r="1103" spans="5:30" ht="15">
      <c r="E1103" s="9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</row>
    <row r="1104" spans="5:30" ht="15">
      <c r="E1104" s="9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</row>
    <row r="1105" spans="5:30" ht="15">
      <c r="E1105" s="9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</row>
    <row r="1106" spans="5:30" ht="15">
      <c r="E1106" s="9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</row>
    <row r="1107" spans="5:30" ht="15">
      <c r="E1107" s="9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</row>
    <row r="1108" spans="5:30" ht="15">
      <c r="E1108" s="9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</row>
    <row r="1109" spans="5:30" ht="15">
      <c r="E1109" s="9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</row>
    <row r="1110" spans="5:30" ht="15">
      <c r="E1110" s="9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</row>
    <row r="1111" spans="5:30" ht="15">
      <c r="E1111" s="9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</row>
    <row r="1112" spans="5:30" ht="15">
      <c r="E1112" s="9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</row>
    <row r="1113" spans="5:30" ht="15">
      <c r="E1113" s="9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</row>
    <row r="1114" spans="5:30" ht="15">
      <c r="E1114" s="9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</row>
    <row r="1115" spans="5:30" ht="15">
      <c r="E1115" s="9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</row>
    <row r="1116" spans="5:30" ht="15">
      <c r="E1116" s="9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</row>
    <row r="1117" spans="5:30" ht="15">
      <c r="E1117" s="9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</row>
    <row r="1118" spans="5:30" ht="15">
      <c r="E1118" s="9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</row>
    <row r="1119" spans="5:30" ht="15">
      <c r="E1119" s="9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</row>
    <row r="1120" spans="5:30" ht="15">
      <c r="E1120" s="9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</row>
    <row r="1121" spans="5:30" ht="15">
      <c r="E1121" s="9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</row>
    <row r="1122" spans="5:30" ht="15">
      <c r="E1122" s="9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</row>
    <row r="1123" spans="5:30" ht="15">
      <c r="E1123" s="9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</row>
    <row r="1124" spans="5:30" ht="15">
      <c r="E1124" s="9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</row>
    <row r="1125" spans="5:30" ht="15">
      <c r="E1125" s="9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</row>
    <row r="1126" spans="5:30" ht="15">
      <c r="E1126" s="9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</row>
    <row r="1127" spans="5:30" ht="15">
      <c r="E1127" s="9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</row>
    <row r="1128" spans="5:30" ht="15">
      <c r="E1128" s="9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</row>
    <row r="1129" spans="5:30" ht="15">
      <c r="E1129" s="9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</row>
    <row r="1130" spans="5:30" ht="15">
      <c r="E1130" s="9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</row>
    <row r="1131" spans="5:30" ht="15">
      <c r="E1131" s="9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</row>
    <row r="1132" spans="5:30" ht="15">
      <c r="E1132" s="9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</row>
    <row r="1133" spans="5:30" ht="15">
      <c r="E1133" s="9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</row>
    <row r="1134" spans="5:30" ht="15">
      <c r="E1134" s="9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</row>
    <row r="1135" spans="5:30" ht="15">
      <c r="E1135" s="9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</row>
    <row r="1136" spans="5:30" ht="15">
      <c r="E1136" s="9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</row>
    <row r="1137" spans="5:30" ht="15">
      <c r="E1137" s="9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</row>
    <row r="1138" spans="5:30" ht="15">
      <c r="E1138" s="9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</row>
    <row r="1139" spans="5:30" ht="15">
      <c r="E1139" s="9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</row>
    <row r="1140" spans="5:30" ht="15">
      <c r="E1140" s="9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</row>
    <row r="1141" spans="5:30" ht="15">
      <c r="E1141" s="9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</row>
    <row r="1142" spans="5:30" ht="15">
      <c r="E1142" s="9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</row>
    <row r="1143" spans="5:30" ht="15">
      <c r="E1143" s="9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</row>
    <row r="1144" spans="5:30" ht="15">
      <c r="E1144" s="9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</row>
    <row r="1145" spans="5:30" ht="15">
      <c r="E1145" s="9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</row>
    <row r="1146" spans="5:30" ht="15">
      <c r="E1146" s="9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</row>
    <row r="1147" spans="5:30" ht="15">
      <c r="E1147" s="9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</row>
    <row r="1148" spans="5:30" ht="15">
      <c r="E1148" s="9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</row>
    <row r="1149" spans="5:30" ht="15">
      <c r="E1149" s="9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</row>
    <row r="1150" spans="5:30" ht="15">
      <c r="E1150" s="9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</row>
    <row r="1151" spans="5:30" ht="15">
      <c r="E1151" s="9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</row>
    <row r="1152" spans="5:30" ht="15">
      <c r="E1152" s="9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</row>
    <row r="1153" spans="5:30" ht="15">
      <c r="E1153" s="9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</row>
    <row r="1154" spans="5:30" ht="15">
      <c r="E1154" s="9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</row>
    <row r="1155" spans="5:30" ht="15">
      <c r="E1155" s="9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</row>
    <row r="1156" spans="5:30" ht="15">
      <c r="E1156" s="9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</row>
    <row r="1157" spans="5:30" ht="15">
      <c r="E1157" s="9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</row>
    <row r="1158" spans="5:30" ht="15">
      <c r="E1158" s="9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</row>
    <row r="1159" spans="5:30" ht="15">
      <c r="E1159" s="9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</row>
    <row r="1160" spans="5:30" ht="15">
      <c r="E1160" s="9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</row>
    <row r="1161" spans="5:30" ht="15">
      <c r="E1161" s="9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</row>
    <row r="1162" spans="5:30" ht="15">
      <c r="E1162" s="9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</row>
    <row r="1163" spans="5:30" ht="15">
      <c r="E1163" s="9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</row>
    <row r="1164" spans="5:30" ht="15">
      <c r="E1164" s="9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</row>
    <row r="1165" spans="5:30" ht="15">
      <c r="E1165" s="9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</row>
    <row r="1166" spans="5:30" ht="15">
      <c r="E1166" s="9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</row>
    <row r="1167" spans="5:30" ht="15">
      <c r="E1167" s="9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</row>
    <row r="1168" spans="5:30" ht="15">
      <c r="E1168" s="9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</row>
    <row r="1169" spans="5:30" ht="15">
      <c r="E1169" s="9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</row>
    <row r="1170" spans="5:30" ht="15">
      <c r="E1170" s="9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</row>
    <row r="1171" spans="5:30" ht="15">
      <c r="E1171" s="9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</row>
    <row r="1172" spans="5:30" ht="15">
      <c r="E1172" s="9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</row>
    <row r="1173" spans="5:30" ht="15">
      <c r="E1173" s="9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</row>
    <row r="1174" spans="5:30" ht="15">
      <c r="E1174" s="9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</row>
    <row r="1175" spans="5:30" ht="15">
      <c r="E1175" s="9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</row>
    <row r="1176" spans="5:30" ht="15">
      <c r="E1176" s="9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</row>
    <row r="1177" spans="5:30" ht="15">
      <c r="E1177" s="9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</row>
    <row r="1178" spans="5:30" ht="15">
      <c r="E1178" s="9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</row>
    <row r="1179" spans="5:30" ht="15">
      <c r="E1179" s="9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</row>
    <row r="1180" spans="5:30" ht="15">
      <c r="E1180" s="9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</row>
    <row r="1181" spans="5:30" ht="15">
      <c r="E1181" s="9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</row>
    <row r="1182" spans="5:30" ht="15">
      <c r="E1182" s="9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</row>
    <row r="1183" spans="5:30" ht="15">
      <c r="E1183" s="9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</row>
    <row r="1184" spans="5:30" ht="15">
      <c r="E1184" s="9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</row>
    <row r="1185" spans="5:30" ht="15">
      <c r="E1185" s="9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</row>
    <row r="1186" spans="5:30" ht="15">
      <c r="E1186" s="9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</row>
    <row r="1187" spans="5:30" ht="15">
      <c r="E1187" s="9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</row>
    <row r="1188" spans="5:30" ht="15">
      <c r="E1188" s="9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</row>
    <row r="1189" spans="5:30" ht="15">
      <c r="E1189" s="9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</row>
    <row r="1190" spans="5:30" ht="15">
      <c r="E1190" s="9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</row>
    <row r="1191" spans="5:30" ht="15">
      <c r="E1191" s="9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</row>
    <row r="1192" spans="5:30" ht="15">
      <c r="E1192" s="9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</row>
    <row r="1193" spans="5:30" ht="15">
      <c r="E1193" s="9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</row>
    <row r="1194" spans="5:30" ht="15">
      <c r="E1194" s="9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</row>
    <row r="1195" spans="5:30" ht="15">
      <c r="E1195" s="9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</row>
    <row r="1196" spans="5:30" ht="15">
      <c r="E1196" s="9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</row>
    <row r="1197" spans="5:30" ht="15">
      <c r="E1197" s="9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</row>
    <row r="1198" spans="5:30" ht="15">
      <c r="E1198" s="9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</row>
    <row r="1199" spans="5:30" ht="15">
      <c r="E1199" s="9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</row>
    <row r="1200" spans="5:30" ht="15">
      <c r="E1200" s="9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</row>
    <row r="1201" spans="5:30" ht="15">
      <c r="E1201" s="9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</row>
    <row r="1202" spans="5:30" ht="15">
      <c r="E1202" s="9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</row>
    <row r="1203" spans="5:30" ht="15">
      <c r="E1203" s="9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</row>
    <row r="1204" spans="5:30" ht="15">
      <c r="E1204" s="9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</row>
    <row r="1205" spans="5:30" ht="15">
      <c r="E1205" s="9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</row>
    <row r="1206" spans="5:30" ht="15">
      <c r="E1206" s="9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</row>
    <row r="1207" spans="5:30" ht="15">
      <c r="E1207" s="9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</row>
    <row r="1208" spans="5:30" ht="15">
      <c r="E1208" s="9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</row>
    <row r="1209" spans="5:30" ht="15">
      <c r="E1209" s="9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</row>
    <row r="1210" spans="5:30" ht="15">
      <c r="E1210" s="9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</row>
    <row r="1211" spans="5:30" ht="15">
      <c r="E1211" s="9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</row>
    <row r="1212" spans="5:30" ht="15">
      <c r="E1212" s="9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</row>
    <row r="1213" spans="5:30" ht="15">
      <c r="E1213" s="9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</row>
    <row r="1214" spans="5:30" ht="15">
      <c r="E1214" s="9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</row>
    <row r="1215" spans="5:30" ht="15">
      <c r="E1215" s="9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</row>
    <row r="1216" spans="5:30" ht="15">
      <c r="E1216" s="9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</row>
    <row r="1217" spans="5:30" ht="15">
      <c r="E1217" s="9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</row>
    <row r="1218" spans="5:30" ht="15">
      <c r="E1218" s="9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</row>
    <row r="1219" spans="5:30" ht="15">
      <c r="E1219" s="9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</row>
    <row r="1220" spans="5:30" ht="15">
      <c r="E1220" s="9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</row>
    <row r="1221" spans="5:30" ht="15">
      <c r="E1221" s="9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</row>
    <row r="1222" spans="5:30" ht="15">
      <c r="E1222" s="9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</row>
    <row r="1223" spans="5:30" ht="15">
      <c r="E1223" s="9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</row>
    <row r="1224" spans="5:30" ht="15">
      <c r="E1224" s="9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</row>
    <row r="1225" spans="5:30" ht="15">
      <c r="E1225" s="9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</row>
    <row r="1226" spans="5:30" ht="15">
      <c r="E1226" s="9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</row>
    <row r="1227" spans="5:30" ht="15">
      <c r="E1227" s="9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</row>
    <row r="1228" spans="5:30" ht="15">
      <c r="E1228" s="9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</row>
    <row r="1229" spans="5:30" ht="15">
      <c r="E1229" s="9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</row>
    <row r="1230" spans="5:30" ht="15">
      <c r="E1230" s="9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</row>
    <row r="1231" spans="5:30" ht="15">
      <c r="E1231" s="9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</row>
    <row r="1232" spans="5:30" ht="15">
      <c r="E1232" s="9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</row>
    <row r="1233" spans="5:30" ht="15">
      <c r="E1233" s="9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</row>
    <row r="1234" spans="5:30" ht="15">
      <c r="E1234" s="9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</row>
    <row r="1235" spans="5:30" ht="15">
      <c r="E1235" s="9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</row>
    <row r="1236" spans="5:30" ht="15">
      <c r="E1236" s="9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</row>
    <row r="1237" spans="5:30" ht="15">
      <c r="E1237" s="9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</row>
    <row r="1238" spans="5:30" ht="15">
      <c r="E1238" s="9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</row>
    <row r="1239" spans="5:30" ht="15">
      <c r="E1239" s="9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</row>
    <row r="1240" spans="5:30" ht="15">
      <c r="E1240" s="9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</row>
    <row r="1241" spans="5:30" ht="15">
      <c r="E1241" s="9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</row>
    <row r="1242" spans="5:30" ht="15">
      <c r="E1242" s="9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</row>
    <row r="1243" spans="5:30" ht="15">
      <c r="E1243" s="9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</row>
    <row r="1244" spans="5:30" ht="15">
      <c r="E1244" s="9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</row>
    <row r="1245" spans="5:30" ht="15">
      <c r="E1245" s="9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</row>
    <row r="1246" spans="5:30" ht="15">
      <c r="E1246" s="9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</row>
    <row r="1247" spans="5:30" ht="15">
      <c r="E1247" s="9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</row>
    <row r="1248" spans="5:30" ht="15">
      <c r="E1248" s="9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</row>
    <row r="1249" spans="5:30" ht="15">
      <c r="E1249" s="9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</row>
    <row r="1250" spans="5:30" ht="15">
      <c r="E1250" s="9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</row>
    <row r="1251" spans="5:30" ht="15">
      <c r="E1251" s="9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</row>
    <row r="1252" spans="5:30" ht="15">
      <c r="E1252" s="9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</row>
    <row r="1253" spans="5:30" ht="15">
      <c r="E1253" s="9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</row>
    <row r="1254" spans="5:30" ht="15">
      <c r="E1254" s="9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</row>
    <row r="1255" spans="5:30" ht="15">
      <c r="E1255" s="9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</row>
    <row r="1256" spans="5:30" ht="15">
      <c r="E1256" s="9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</row>
    <row r="1257" spans="5:30" ht="15">
      <c r="E1257" s="9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</row>
    <row r="1258" spans="5:30" ht="15">
      <c r="E1258" s="9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</row>
    <row r="1259" spans="5:30" ht="15">
      <c r="E1259" s="9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</row>
    <row r="1260" spans="5:30" ht="15">
      <c r="E1260" s="9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</row>
    <row r="1261" spans="5:30" ht="15">
      <c r="E1261" s="9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</row>
    <row r="1262" spans="5:30" ht="15">
      <c r="E1262" s="9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</row>
    <row r="1263" spans="5:30" ht="15">
      <c r="E1263" s="9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</row>
    <row r="1264" spans="5:30" ht="15">
      <c r="E1264" s="9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</row>
    <row r="1265" spans="5:30" ht="15">
      <c r="E1265" s="9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</row>
    <row r="1266" spans="5:30" ht="15">
      <c r="E1266" s="9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</row>
    <row r="1267" spans="5:30" ht="15">
      <c r="E1267" s="9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</row>
    <row r="1268" spans="5:30" ht="15">
      <c r="E1268" s="9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</row>
    <row r="1269" spans="5:30" ht="15">
      <c r="E1269" s="9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</row>
    <row r="1270" spans="5:30" ht="15">
      <c r="E1270" s="9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</row>
    <row r="1271" spans="5:30" ht="15">
      <c r="E1271" s="9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</row>
    <row r="1272" spans="5:30" ht="15">
      <c r="E1272" s="9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</row>
    <row r="1273" spans="5:30" ht="15">
      <c r="E1273" s="9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</row>
    <row r="1274" spans="5:30" ht="15">
      <c r="E1274" s="9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</row>
    <row r="1275" spans="5:30" ht="15">
      <c r="E1275" s="9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</row>
    <row r="1276" spans="5:30" ht="15">
      <c r="E1276" s="9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</row>
    <row r="1277" spans="5:30" ht="15">
      <c r="E1277" s="9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</row>
    <row r="1278" spans="5:30" ht="15">
      <c r="E1278" s="9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</row>
    <row r="1279" spans="5:30" ht="15">
      <c r="E1279" s="9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</row>
    <row r="1280" spans="5:30" ht="15">
      <c r="E1280" s="9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</row>
    <row r="1281" spans="5:30" ht="15">
      <c r="E1281" s="9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</row>
    <row r="1282" spans="5:30" ht="15">
      <c r="E1282" s="9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</row>
    <row r="1283" spans="5:30" ht="15">
      <c r="E1283" s="9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</row>
    <row r="1284" spans="5:30" ht="15">
      <c r="E1284" s="9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</row>
    <row r="1285" spans="5:30" ht="15">
      <c r="E1285" s="9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</row>
    <row r="1286" spans="5:30" ht="15">
      <c r="E1286" s="9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</row>
    <row r="1287" spans="5:30" ht="15">
      <c r="E1287" s="9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</row>
    <row r="1288" spans="5:30" ht="15">
      <c r="E1288" s="9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</row>
    <row r="1289" spans="5:30" ht="15">
      <c r="E1289" s="9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</row>
    <row r="1290" spans="5:30" ht="15">
      <c r="E1290" s="9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</row>
    <row r="1291" spans="5:30" ht="15">
      <c r="E1291" s="9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</row>
    <row r="1292" spans="5:30" ht="15">
      <c r="E1292" s="9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</row>
    <row r="1293" spans="5:30" ht="15">
      <c r="E1293" s="9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</row>
    <row r="1294" spans="5:30" ht="15">
      <c r="E1294" s="9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</row>
    <row r="1295" spans="5:30" ht="15">
      <c r="E1295" s="9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</row>
    <row r="1296" spans="5:30" ht="15">
      <c r="E1296" s="9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</row>
    <row r="1297" spans="5:30" ht="15">
      <c r="E1297" s="9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</row>
    <row r="1298" spans="5:30" ht="15">
      <c r="E1298" s="9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</row>
    <row r="1299" spans="5:30" ht="15">
      <c r="E1299" s="9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</row>
    <row r="1300" spans="5:30" ht="15">
      <c r="E1300" s="9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</row>
    <row r="1301" spans="5:30" ht="15">
      <c r="E1301" s="9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</row>
    <row r="1302" spans="5:30" ht="15">
      <c r="E1302" s="9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</row>
    <row r="1303" spans="5:30" ht="15">
      <c r="E1303" s="9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</row>
    <row r="1304" spans="5:30" ht="15">
      <c r="E1304" s="9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</row>
    <row r="1305" spans="5:30" ht="15">
      <c r="E1305" s="9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</row>
    <row r="1306" spans="5:30" ht="15">
      <c r="E1306" s="9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</row>
    <row r="1307" spans="5:30" ht="15">
      <c r="E1307" s="9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</row>
    <row r="1308" spans="5:30" ht="15">
      <c r="E1308" s="9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</row>
    <row r="1309" spans="5:30" ht="15">
      <c r="E1309" s="9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</row>
    <row r="1310" spans="5:30" ht="15">
      <c r="E1310" s="9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</row>
    <row r="1311" spans="5:30" ht="15">
      <c r="E1311" s="9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</row>
    <row r="1312" spans="5:30" ht="15">
      <c r="E1312" s="9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</row>
    <row r="1313" spans="5:30" ht="15">
      <c r="E1313" s="9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</row>
    <row r="1314" spans="5:30" ht="15">
      <c r="E1314" s="9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</row>
    <row r="1315" spans="5:30" ht="15">
      <c r="E1315" s="9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</row>
    <row r="1316" spans="5:30" ht="15">
      <c r="E1316" s="9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</row>
    <row r="1317" spans="5:30" ht="15">
      <c r="E1317" s="9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</row>
    <row r="1318" spans="5:30" ht="15">
      <c r="E1318" s="9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</row>
    <row r="1319" spans="5:30" ht="15">
      <c r="E1319" s="9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</row>
    <row r="1320" spans="5:30" ht="15">
      <c r="E1320" s="9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</row>
    <row r="1321" spans="5:30" ht="15">
      <c r="E1321" s="9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</row>
    <row r="1322" spans="5:30" ht="15">
      <c r="E1322" s="9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</row>
    <row r="1323" spans="5:30" ht="15">
      <c r="E1323" s="9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</row>
    <row r="1324" spans="5:30" ht="15">
      <c r="E1324" s="9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</row>
    <row r="1325" spans="5:30" ht="15">
      <c r="E1325" s="9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</row>
    <row r="1326" spans="5:30" ht="15">
      <c r="E1326" s="9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</row>
    <row r="1327" spans="5:30" ht="15">
      <c r="E1327" s="9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</row>
    <row r="1328" spans="5:30" ht="15">
      <c r="E1328" s="9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</row>
    <row r="1329" spans="5:30" ht="15">
      <c r="E1329" s="9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</row>
    <row r="1330" spans="5:30" ht="15">
      <c r="E1330" s="9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</row>
    <row r="1331" spans="5:30" ht="15">
      <c r="E1331" s="9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</row>
    <row r="1332" spans="5:30" ht="15">
      <c r="E1332" s="9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</row>
    <row r="1333" spans="5:30" ht="15">
      <c r="E1333" s="9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</row>
    <row r="1334" spans="5:30" ht="15">
      <c r="E1334" s="9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</row>
    <row r="1335" spans="5:30" ht="15">
      <c r="E1335" s="9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</row>
    <row r="1336" spans="5:30" ht="15">
      <c r="E1336" s="9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</row>
    <row r="1337" spans="5:30" ht="15">
      <c r="E1337" s="9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</row>
    <row r="1338" spans="5:30" ht="15">
      <c r="E1338" s="9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</row>
    <row r="1339" spans="5:30" ht="15">
      <c r="E1339" s="9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</row>
    <row r="1340" spans="5:30" ht="15">
      <c r="E1340" s="9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</row>
    <row r="1341" spans="5:30" ht="15">
      <c r="E1341" s="9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</row>
    <row r="1342" spans="5:30" ht="15">
      <c r="E1342" s="9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</row>
    <row r="1343" spans="5:30" ht="15">
      <c r="E1343" s="9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</row>
    <row r="1344" spans="5:30" ht="15">
      <c r="E1344" s="9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</row>
    <row r="1345" spans="5:30" ht="15">
      <c r="E1345" s="9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</row>
    <row r="1346" spans="5:30" ht="15">
      <c r="E1346" s="9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</row>
    <row r="1347" spans="5:30" ht="15">
      <c r="E1347" s="9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</row>
    <row r="1348" spans="5:30" ht="15">
      <c r="E1348" s="9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</row>
    <row r="1349" spans="5:30" ht="15">
      <c r="E1349" s="9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</row>
    <row r="1350" spans="5:30" ht="15">
      <c r="E1350" s="9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</row>
    <row r="1351" spans="5:30" ht="15">
      <c r="E1351" s="9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</row>
    <row r="1352" spans="5:30" ht="15">
      <c r="E1352" s="9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</row>
    <row r="1353" spans="5:30" ht="15">
      <c r="E1353" s="9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</row>
    <row r="1354" spans="5:30" ht="15">
      <c r="E1354" s="9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</row>
    <row r="1355" spans="5:30" ht="15">
      <c r="E1355" s="9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</row>
    <row r="1356" spans="5:30" ht="15">
      <c r="E1356" s="9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</row>
    <row r="1357" spans="5:30" ht="15">
      <c r="E1357" s="9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</row>
    <row r="1358" spans="5:30" ht="15">
      <c r="E1358" s="9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</row>
    <row r="1359" spans="5:30" ht="15">
      <c r="E1359" s="9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</row>
    <row r="1360" spans="5:30" ht="15">
      <c r="E1360" s="9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</row>
    <row r="1361" spans="5:30" ht="15">
      <c r="E1361" s="9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</row>
    <row r="1362" spans="5:30" ht="15">
      <c r="E1362" s="9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</row>
    <row r="1363" spans="5:30" ht="15">
      <c r="E1363" s="9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</row>
    <row r="1364" spans="5:30" ht="15">
      <c r="E1364" s="9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</row>
    <row r="1365" spans="5:30" ht="15">
      <c r="E1365" s="9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</row>
    <row r="1366" spans="5:30" ht="15">
      <c r="E1366" s="9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</row>
    <row r="1367" spans="5:30" ht="15">
      <c r="E1367" s="9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</row>
    <row r="1368" spans="5:30" ht="15">
      <c r="E1368" s="9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</row>
    <row r="1369" spans="5:30" ht="15">
      <c r="E1369" s="9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</row>
    <row r="1370" spans="5:30" ht="15">
      <c r="E1370" s="9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</row>
    <row r="1371" spans="5:30" ht="15">
      <c r="E1371" s="9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</row>
    <row r="1372" spans="5:30" ht="15">
      <c r="E1372" s="9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</row>
    <row r="1373" spans="5:30" ht="15">
      <c r="E1373" s="9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</row>
    <row r="1374" spans="5:30" ht="15">
      <c r="E1374" s="9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</row>
    <row r="1375" spans="5:30" ht="15">
      <c r="E1375" s="9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</row>
    <row r="1376" spans="5:30" ht="15">
      <c r="E1376" s="9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</row>
    <row r="1377" spans="5:30" ht="15">
      <c r="E1377" s="9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</row>
    <row r="1378" spans="5:30" ht="15">
      <c r="E1378" s="9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</row>
    <row r="1379" spans="5:30" ht="15">
      <c r="E1379" s="9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</row>
    <row r="1380" spans="5:30" ht="15">
      <c r="E1380" s="9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</row>
    <row r="1381" spans="5:30" ht="15">
      <c r="E1381" s="9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</row>
    <row r="1382" spans="5:30" ht="15">
      <c r="E1382" s="9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</row>
    <row r="1383" spans="5:30" ht="15">
      <c r="E1383" s="9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</row>
    <row r="1384" spans="5:30" ht="15">
      <c r="E1384" s="9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</row>
    <row r="1385" spans="5:30" ht="15">
      <c r="E1385" s="9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</row>
    <row r="1386" spans="5:30" ht="15">
      <c r="E1386" s="9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</row>
    <row r="1387" spans="5:30" ht="15">
      <c r="E1387" s="9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</row>
    <row r="1388" spans="5:30" ht="15">
      <c r="E1388" s="9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</row>
    <row r="1389" spans="5:30" ht="15">
      <c r="E1389" s="9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</row>
    <row r="1390" spans="5:30" ht="15">
      <c r="E1390" s="9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</row>
    <row r="1391" spans="5:30" ht="15">
      <c r="E1391" s="9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</row>
    <row r="1392" spans="5:30" ht="15">
      <c r="E1392" s="9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</row>
    <row r="1393" spans="5:30" ht="15">
      <c r="E1393" s="9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</row>
    <row r="1394" spans="5:30" ht="15">
      <c r="E1394" s="9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</row>
    <row r="1395" spans="5:30" ht="15">
      <c r="E1395" s="9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</row>
    <row r="1396" spans="5:30" ht="15">
      <c r="E1396" s="9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</row>
    <row r="1397" spans="5:30" ht="15">
      <c r="E1397" s="9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</row>
    <row r="1398" spans="5:30" ht="15">
      <c r="E1398" s="9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</row>
    <row r="1399" spans="5:30" ht="15">
      <c r="E1399" s="9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</row>
    <row r="1400" spans="5:30" ht="15">
      <c r="E1400" s="9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</row>
    <row r="1401" spans="5:30" ht="15">
      <c r="E1401" s="9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</row>
    <row r="1402" spans="5:30" ht="15">
      <c r="E1402" s="9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</row>
    <row r="1403" spans="5:30" ht="15">
      <c r="E1403" s="9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</row>
    <row r="1404" spans="5:30" ht="15">
      <c r="E1404" s="9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</row>
    <row r="1405" spans="5:30" ht="15">
      <c r="E1405" s="9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</row>
    <row r="1406" spans="5:30" ht="15">
      <c r="E1406" s="9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</row>
    <row r="1407" spans="5:30" ht="15">
      <c r="E1407" s="9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</row>
    <row r="1408" spans="5:30" ht="15">
      <c r="E1408" s="9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</row>
    <row r="1409" spans="5:30" ht="15">
      <c r="E1409" s="9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</row>
    <row r="1410" spans="5:30" ht="15">
      <c r="E1410" s="9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</row>
    <row r="1411" spans="5:30" ht="15">
      <c r="E1411" s="9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</row>
    <row r="1412" spans="5:30" ht="15">
      <c r="E1412" s="9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</row>
    <row r="1413" spans="5:30" ht="15">
      <c r="E1413" s="9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</row>
    <row r="1414" spans="5:30" ht="15">
      <c r="E1414" s="9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</row>
    <row r="1415" spans="5:30" ht="15">
      <c r="E1415" s="9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</row>
    <row r="1416" spans="5:30" ht="15">
      <c r="E1416" s="9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</row>
    <row r="1417" spans="5:30" ht="15">
      <c r="E1417" s="9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</row>
    <row r="1418" spans="5:30" ht="15">
      <c r="E1418" s="9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</row>
    <row r="1419" spans="5:30" ht="15">
      <c r="E1419" s="9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</row>
    <row r="1420" spans="5:30" ht="15">
      <c r="E1420" s="9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</row>
    <row r="1421" spans="5:30" ht="15">
      <c r="E1421" s="9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</row>
    <row r="1422" spans="5:30" ht="15">
      <c r="E1422" s="9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</row>
    <row r="1423" spans="5:30" ht="15">
      <c r="E1423" s="9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</row>
    <row r="1424" spans="5:30" ht="15">
      <c r="E1424" s="9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</row>
    <row r="1425" spans="5:30" ht="15">
      <c r="E1425" s="9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</row>
    <row r="1426" spans="5:30" ht="15">
      <c r="E1426" s="9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</row>
    <row r="1427" spans="5:30" ht="15">
      <c r="E1427" s="9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</row>
    <row r="1428" spans="5:30" ht="15">
      <c r="E1428" s="9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</row>
    <row r="1429" spans="5:30" ht="15">
      <c r="E1429" s="9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</row>
    <row r="1430" spans="5:30" ht="15">
      <c r="E1430" s="9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</row>
    <row r="1431" spans="5:30" ht="15">
      <c r="E1431" s="9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</row>
    <row r="1432" spans="5:30" ht="15">
      <c r="E1432" s="9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</row>
    <row r="1433" spans="5:30" ht="15">
      <c r="E1433" s="9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</row>
    <row r="1434" spans="5:30" ht="15">
      <c r="E1434" s="9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</row>
    <row r="1435" spans="5:30" ht="15">
      <c r="E1435" s="9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</row>
    <row r="1436" spans="5:30" ht="15">
      <c r="E1436" s="9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</row>
    <row r="1437" spans="5:30" ht="15">
      <c r="E1437" s="9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</row>
    <row r="1438" spans="5:30" ht="15">
      <c r="E1438" s="9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</row>
    <row r="1439" spans="5:30" ht="15">
      <c r="E1439" s="9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</row>
    <row r="1440" spans="5:30" ht="15">
      <c r="E1440" s="9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</row>
    <row r="1441" spans="5:30" ht="15">
      <c r="E1441" s="9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</row>
    <row r="1442" spans="5:30" ht="15">
      <c r="E1442" s="9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</row>
    <row r="1443" spans="5:30" ht="15">
      <c r="E1443" s="9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</row>
    <row r="1444" spans="5:30" ht="15">
      <c r="E1444" s="9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</row>
    <row r="1445" spans="5:30" ht="15">
      <c r="E1445" s="9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</row>
    <row r="1446" spans="5:30" ht="15">
      <c r="E1446" s="9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</row>
    <row r="1447" spans="5:30" ht="15">
      <c r="E1447" s="9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</row>
    <row r="1448" spans="5:30" ht="15">
      <c r="E1448" s="9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</row>
    <row r="1449" spans="5:30" ht="15">
      <c r="E1449" s="9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</row>
    <row r="1450" spans="5:30" ht="15">
      <c r="E1450" s="9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</row>
    <row r="1451" spans="5:30" ht="15">
      <c r="E1451" s="9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</row>
    <row r="1452" spans="5:30" ht="15">
      <c r="E1452" s="9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</row>
    <row r="1453" spans="5:30" ht="15">
      <c r="E1453" s="9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</row>
    <row r="1454" spans="5:30" ht="15">
      <c r="E1454" s="9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</row>
    <row r="1455" spans="5:30" ht="15">
      <c r="E1455" s="9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</row>
    <row r="1456" spans="5:30" ht="15">
      <c r="E1456" s="9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</row>
    <row r="1457" spans="5:30" ht="15">
      <c r="E1457" s="9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</row>
    <row r="1458" spans="5:30" ht="15">
      <c r="E1458" s="9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</row>
    <row r="1459" spans="5:30" ht="15">
      <c r="E1459" s="9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</row>
    <row r="1460" spans="5:30" ht="15">
      <c r="E1460" s="9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</row>
    <row r="1461" spans="5:30" ht="15">
      <c r="E1461" s="9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</row>
    <row r="1462" spans="5:30" ht="15">
      <c r="E1462" s="9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</row>
    <row r="1463" spans="5:30" ht="15">
      <c r="E1463" s="9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</row>
    <row r="1464" spans="5:30" ht="15">
      <c r="E1464" s="9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</row>
    <row r="1465" spans="5:30" ht="15">
      <c r="E1465" s="9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</row>
    <row r="1466" spans="5:30" ht="15">
      <c r="E1466" s="9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</row>
    <row r="1467" spans="5:30" ht="15">
      <c r="E1467" s="9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</row>
    <row r="1468" spans="5:30" ht="15">
      <c r="E1468" s="9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</row>
    <row r="1469" spans="5:30" ht="15">
      <c r="E1469" s="9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</row>
    <row r="1470" spans="5:30" ht="15">
      <c r="E1470" s="9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</row>
    <row r="1471" spans="5:30" ht="15">
      <c r="E1471" s="9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</row>
    <row r="1472" spans="5:30" ht="15">
      <c r="E1472" s="9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</row>
    <row r="1473" spans="5:30" ht="15">
      <c r="E1473" s="9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</row>
    <row r="1474" spans="5:30" ht="15">
      <c r="E1474" s="9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</row>
    <row r="1475" spans="5:30" ht="15">
      <c r="E1475" s="9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</row>
    <row r="1476" spans="5:30" ht="15">
      <c r="E1476" s="9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</row>
    <row r="1477" spans="5:30" ht="15">
      <c r="E1477" s="9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</row>
    <row r="1478" spans="5:30" ht="15">
      <c r="E1478" s="9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</row>
    <row r="1479" spans="5:30" ht="15">
      <c r="E1479" s="9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</row>
    <row r="1480" spans="5:30" ht="15">
      <c r="E1480" s="9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</row>
    <row r="1481" spans="5:30" ht="15">
      <c r="E1481" s="9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</row>
    <row r="1482" spans="5:30" ht="15">
      <c r="E1482" s="9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</row>
    <row r="1483" spans="5:30" ht="15">
      <c r="E1483" s="9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</row>
    <row r="1484" spans="5:30" ht="15">
      <c r="E1484" s="9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</row>
    <row r="1485" spans="5:30" ht="15">
      <c r="E1485" s="9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</row>
    <row r="1486" spans="5:30" ht="15">
      <c r="E1486" s="9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</row>
    <row r="1487" spans="5:30" ht="15">
      <c r="E1487" s="9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</row>
    <row r="1488" spans="5:30" ht="15">
      <c r="E1488" s="9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</row>
    <row r="1489" spans="5:30" ht="15">
      <c r="E1489" s="9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</row>
    <row r="1490" spans="5:30" ht="15">
      <c r="E1490" s="9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</row>
    <row r="1491" spans="5:30" ht="15">
      <c r="E1491" s="9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</row>
    <row r="1492" spans="5:30" ht="15">
      <c r="E1492" s="9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</row>
    <row r="1493" spans="5:30" ht="15">
      <c r="E1493" s="9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</row>
    <row r="1494" spans="5:30" ht="15">
      <c r="E1494" s="9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</row>
    <row r="1495" spans="5:30" ht="15">
      <c r="E1495" s="9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</row>
    <row r="1496" spans="5:30" ht="15">
      <c r="E1496" s="9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</row>
    <row r="1497" spans="5:30" ht="15">
      <c r="E1497" s="9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</row>
    <row r="1498" spans="5:30" ht="15">
      <c r="E1498" s="9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</row>
    <row r="1499" spans="5:30" ht="15">
      <c r="E1499" s="9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</row>
    <row r="1500" spans="5:30" ht="15">
      <c r="E1500" s="9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</row>
    <row r="1501" spans="5:30" ht="15">
      <c r="E1501" s="9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</row>
    <row r="1502" spans="5:30" ht="15">
      <c r="E1502" s="9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</row>
    <row r="1503" spans="5:30" ht="15">
      <c r="E1503" s="9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</row>
    <row r="1504" spans="5:30" ht="15">
      <c r="E1504" s="9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</row>
    <row r="1505" spans="5:30" ht="15">
      <c r="E1505" s="9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</row>
    <row r="1506" spans="5:30" ht="15">
      <c r="E1506" s="9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</row>
    <row r="1507" spans="5:30" ht="15">
      <c r="E1507" s="9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</row>
    <row r="1508" spans="5:30" ht="15">
      <c r="E1508" s="9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</row>
    <row r="1509" spans="5:30" ht="15">
      <c r="E1509" s="9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</row>
    <row r="1510" spans="5:30" ht="15">
      <c r="E1510" s="9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</row>
    <row r="1511" spans="5:30" ht="15">
      <c r="E1511" s="9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</row>
    <row r="1512" spans="5:30" ht="15">
      <c r="E1512" s="9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</row>
    <row r="1513" spans="5:30" ht="15">
      <c r="E1513" s="9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</row>
    <row r="1514" spans="5:30" ht="15">
      <c r="E1514" s="9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</row>
    <row r="1515" spans="5:30" ht="15">
      <c r="E1515" s="9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</row>
    <row r="1516" spans="5:30" ht="15">
      <c r="E1516" s="9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</row>
    <row r="1517" spans="5:30" ht="15">
      <c r="E1517" s="9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</row>
    <row r="1518" spans="5:30" ht="15">
      <c r="E1518" s="9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</row>
    <row r="1519" spans="5:30" ht="15">
      <c r="E1519" s="9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</row>
    <row r="1520" spans="5:30" ht="15">
      <c r="E1520" s="9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</row>
    <row r="1521" spans="5:30" ht="15">
      <c r="E1521" s="9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</row>
    <row r="1522" spans="5:30" ht="15">
      <c r="E1522" s="9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</row>
    <row r="1523" spans="5:30" ht="15">
      <c r="E1523" s="9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</row>
    <row r="1524" spans="5:30" ht="15">
      <c r="E1524" s="9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</row>
    <row r="1525" spans="5:30" ht="15">
      <c r="E1525" s="9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</row>
    <row r="1526" spans="5:30" ht="15">
      <c r="E1526" s="9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</row>
    <row r="1527" spans="5:30" ht="15">
      <c r="E1527" s="9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</row>
    <row r="1528" spans="5:30" ht="15">
      <c r="E1528" s="9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</row>
    <row r="1529" spans="5:30" ht="15">
      <c r="E1529" s="9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</row>
    <row r="1530" spans="5:30" ht="15">
      <c r="E1530" s="9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</row>
    <row r="1531" spans="5:30" ht="15">
      <c r="E1531" s="9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</row>
    <row r="1532" spans="5:30" ht="15">
      <c r="E1532" s="9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</row>
    <row r="1533" spans="5:30" ht="15">
      <c r="E1533" s="9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</row>
    <row r="1534" spans="5:30" ht="15">
      <c r="E1534" s="9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</row>
    <row r="1535" spans="5:30" ht="15">
      <c r="E1535" s="9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</row>
    <row r="1536" spans="5:30" ht="15">
      <c r="E1536" s="9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</row>
    <row r="1537" spans="5:30" ht="15">
      <c r="E1537" s="9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</row>
    <row r="1538" spans="5:30" ht="15">
      <c r="E1538" s="9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</row>
    <row r="1539" spans="5:30" ht="15">
      <c r="E1539" s="9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</row>
    <row r="1540" spans="5:30" ht="15">
      <c r="E1540" s="9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</row>
    <row r="1541" spans="5:30" ht="15">
      <c r="E1541" s="9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</row>
    <row r="1542" spans="5:30" ht="15">
      <c r="E1542" s="9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</row>
    <row r="1543" spans="5:30" ht="15">
      <c r="E1543" s="9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</row>
    <row r="1544" spans="5:30" ht="15">
      <c r="E1544" s="9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</row>
    <row r="1545" spans="5:30" ht="15">
      <c r="E1545" s="9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</row>
    <row r="1546" spans="5:30" ht="15">
      <c r="E1546" s="9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</row>
    <row r="1547" spans="5:30" ht="15">
      <c r="E1547" s="9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</row>
    <row r="1548" spans="5:30" ht="15">
      <c r="E1548" s="9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</row>
    <row r="1549" spans="5:30" ht="15">
      <c r="E1549" s="9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</row>
    <row r="1550" spans="5:30" ht="15">
      <c r="E1550" s="9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</row>
    <row r="1551" spans="5:30" ht="15">
      <c r="E1551" s="9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</row>
    <row r="1552" spans="5:30" ht="15">
      <c r="E1552" s="9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</row>
    <row r="1553" spans="5:30" ht="15">
      <c r="E1553" s="9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</row>
    <row r="1554" spans="5:30" ht="15">
      <c r="E1554" s="9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</row>
    <row r="1555" spans="5:30" ht="15">
      <c r="E1555" s="9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</row>
    <row r="1556" spans="5:30" ht="15">
      <c r="E1556" s="9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</row>
    <row r="1557" spans="5:30" ht="15">
      <c r="E1557" s="9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</row>
    <row r="1558" spans="5:30" ht="15">
      <c r="E1558" s="9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</row>
    <row r="1559" spans="5:30" ht="15">
      <c r="E1559" s="9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</row>
    <row r="1560" spans="5:30" ht="15">
      <c r="E1560" s="9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</row>
    <row r="1561" spans="5:30" ht="15">
      <c r="E1561" s="9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</row>
    <row r="1562" spans="5:30" ht="15">
      <c r="E1562" s="9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</row>
    <row r="1563" spans="5:30" ht="15">
      <c r="E1563" s="9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</row>
    <row r="1564" spans="5:30" ht="15">
      <c r="E1564" s="9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</row>
    <row r="1565" spans="5:30" ht="15">
      <c r="E1565" s="9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</row>
    <row r="1566" spans="5:30" ht="15">
      <c r="E1566" s="9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</row>
    <row r="1567" spans="5:30" ht="15">
      <c r="E1567" s="9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</row>
    <row r="1568" spans="5:30" ht="15">
      <c r="E1568" s="9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</row>
    <row r="1569" spans="5:30" ht="15">
      <c r="E1569" s="9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</row>
    <row r="1570" spans="5:30" ht="15">
      <c r="E1570" s="9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</row>
    <row r="1571" spans="5:30" ht="15">
      <c r="E1571" s="9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</row>
    <row r="1572" spans="5:30" ht="15">
      <c r="E1572" s="9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</row>
    <row r="1573" spans="5:30" ht="15">
      <c r="E1573" s="9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</row>
    <row r="1574" spans="5:30" ht="15">
      <c r="E1574" s="9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</row>
    <row r="1575" spans="5:30" ht="15">
      <c r="E1575" s="9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</row>
    <row r="1576" spans="5:30" ht="15">
      <c r="E1576" s="9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</row>
    <row r="1577" spans="5:30" ht="15">
      <c r="E1577" s="9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</row>
    <row r="1578" spans="5:30" ht="15">
      <c r="E1578" s="9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</row>
    <row r="1579" spans="5:30" ht="15">
      <c r="E1579" s="9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</row>
    <row r="1580" spans="5:30" ht="15">
      <c r="E1580" s="9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</row>
    <row r="1581" spans="5:30" ht="15">
      <c r="E1581" s="9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</row>
    <row r="1582" spans="5:30" ht="15">
      <c r="E1582" s="9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</row>
    <row r="1583" spans="5:30" ht="15">
      <c r="E1583" s="9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</row>
    <row r="1584" spans="5:30" ht="15">
      <c r="E1584" s="9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</row>
    <row r="1585" spans="5:30" ht="15">
      <c r="E1585" s="9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</row>
    <row r="1586" spans="5:30" ht="15">
      <c r="E1586" s="9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</row>
    <row r="1587" spans="5:30" ht="15">
      <c r="E1587" s="9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</row>
    <row r="1588" spans="5:30" ht="15">
      <c r="E1588" s="9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</row>
    <row r="1589" spans="5:30" ht="15">
      <c r="E1589" s="9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</row>
    <row r="1590" spans="5:30" ht="15">
      <c r="E1590" s="9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</row>
    <row r="1591" spans="5:30" ht="15">
      <c r="E1591" s="9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</row>
    <row r="1592" spans="5:30" ht="15">
      <c r="E1592" s="9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</row>
    <row r="1593" spans="5:30" ht="15">
      <c r="E1593" s="9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</row>
    <row r="1594" spans="5:30" ht="15">
      <c r="E1594" s="9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</row>
    <row r="1595" spans="5:30" ht="15">
      <c r="E1595" s="9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</row>
    <row r="1596" spans="5:30" ht="15">
      <c r="E1596" s="9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</row>
    <row r="1597" spans="5:30" ht="15">
      <c r="E1597" s="9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</row>
    <row r="1598" spans="5:30" ht="15">
      <c r="E1598" s="9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</row>
    <row r="1599" spans="5:30" ht="15">
      <c r="E1599" s="9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</row>
    <row r="1600" spans="5:30" ht="15">
      <c r="E1600" s="9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</row>
    <row r="1601" spans="5:30" ht="15">
      <c r="E1601" s="9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</row>
    <row r="1602" spans="5:30" ht="15">
      <c r="E1602" s="9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</row>
    <row r="1603" spans="5:30" ht="15">
      <c r="E1603" s="9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</row>
    <row r="1604" spans="5:30" ht="15">
      <c r="E1604" s="9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</row>
    <row r="1605" spans="5:30" ht="15">
      <c r="E1605" s="9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</row>
    <row r="1606" spans="5:30" ht="15">
      <c r="E1606" s="9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</row>
    <row r="1607" spans="5:30" ht="15">
      <c r="E1607" s="9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</row>
    <row r="1608" spans="5:30" ht="15">
      <c r="E1608" s="9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</row>
    <row r="1609" spans="5:30" ht="15">
      <c r="E1609" s="9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</row>
    <row r="1610" spans="5:30" ht="15">
      <c r="E1610" s="9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</row>
    <row r="1611" spans="5:30" ht="15">
      <c r="E1611" s="9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</row>
    <row r="1612" spans="5:30" ht="15">
      <c r="E1612" s="9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</row>
    <row r="1613" spans="5:30" ht="15">
      <c r="E1613" s="9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</row>
    <row r="1614" spans="5:30" ht="15">
      <c r="E1614" s="9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</row>
    <row r="1615" spans="5:30" ht="15">
      <c r="E1615" s="9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</row>
    <row r="1616" spans="5:30" ht="15">
      <c r="E1616" s="9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</row>
    <row r="1617" spans="5:30" ht="15">
      <c r="E1617" s="9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</row>
    <row r="1618" spans="5:30" ht="15">
      <c r="E1618" s="9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</row>
    <row r="1619" spans="5:30" ht="15">
      <c r="E1619" s="9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</row>
    <row r="1620" spans="5:30" ht="15">
      <c r="E1620" s="9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</row>
    <row r="1621" spans="5:30" ht="15">
      <c r="E1621" s="9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</row>
    <row r="1622" spans="5:30" ht="15">
      <c r="E1622" s="9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</row>
    <row r="1623" spans="5:30" ht="15">
      <c r="E1623" s="9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</row>
    <row r="1624" spans="5:30" ht="15">
      <c r="E1624" s="9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</row>
    <row r="1625" spans="5:30" ht="15">
      <c r="E1625" s="9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</row>
    <row r="1626" spans="5:30" ht="15">
      <c r="E1626" s="9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</row>
    <row r="1627" spans="5:30" ht="15">
      <c r="E1627" s="9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</row>
    <row r="1628" spans="5:30" ht="15">
      <c r="E1628" s="9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</row>
    <row r="1629" spans="5:30" ht="15">
      <c r="E1629" s="9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</row>
    <row r="1630" spans="5:30" ht="15">
      <c r="E1630" s="9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</row>
    <row r="1631" spans="5:30" ht="15">
      <c r="E1631" s="9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</row>
    <row r="1632" spans="5:30" ht="15">
      <c r="E1632" s="9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</row>
    <row r="1633" spans="5:30" ht="15">
      <c r="E1633" s="9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</row>
    <row r="1634" spans="5:30" ht="15">
      <c r="E1634" s="9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</row>
    <row r="1635" spans="5:30" ht="15">
      <c r="E1635" s="9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</row>
    <row r="1636" spans="5:30" ht="15">
      <c r="E1636" s="9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</row>
    <row r="1637" spans="5:30" ht="15">
      <c r="E1637" s="9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</row>
    <row r="1638" spans="5:30" ht="15">
      <c r="E1638" s="9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</row>
    <row r="1639" spans="5:30" ht="15">
      <c r="E1639" s="9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</row>
    <row r="1640" spans="5:30" ht="15">
      <c r="E1640" s="9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</row>
    <row r="1641" spans="5:30" ht="15">
      <c r="E1641" s="9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</row>
    <row r="1642" spans="5:30" ht="15">
      <c r="E1642" s="9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</row>
    <row r="1643" spans="5:30" ht="15">
      <c r="E1643" s="9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</row>
    <row r="1644" spans="5:30" ht="15">
      <c r="E1644" s="9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</row>
    <row r="1645" spans="5:30" ht="15">
      <c r="E1645" s="9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</row>
    <row r="1646" spans="5:30" ht="15">
      <c r="E1646" s="9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</row>
    <row r="1647" spans="5:30" ht="15">
      <c r="E1647" s="9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</row>
    <row r="1648" spans="5:30" ht="15">
      <c r="E1648" s="9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</row>
    <row r="1649" spans="5:30" ht="15">
      <c r="E1649" s="9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</row>
    <row r="1650" spans="5:30" ht="15">
      <c r="E1650" s="9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</row>
    <row r="1651" spans="5:30" ht="15">
      <c r="E1651" s="9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</row>
    <row r="1652" spans="5:30" ht="15">
      <c r="E1652" s="9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</row>
    <row r="1653" spans="5:30" ht="15">
      <c r="E1653" s="9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</row>
    <row r="1654" spans="5:30" ht="15">
      <c r="E1654" s="9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</row>
    <row r="1655" spans="5:30" ht="15">
      <c r="E1655" s="9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</row>
    <row r="1656" spans="5:30" ht="15">
      <c r="E1656" s="9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</row>
    <row r="1657" spans="5:30" ht="15">
      <c r="E1657" s="9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</row>
    <row r="1658" spans="5:30" ht="15">
      <c r="E1658" s="9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</row>
    <row r="1659" spans="5:30" ht="15">
      <c r="E1659" s="9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</row>
    <row r="1660" spans="5:30" ht="15">
      <c r="E1660" s="9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</row>
    <row r="1661" spans="5:30" ht="15">
      <c r="E1661" s="9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</row>
    <row r="1662" spans="5:30" ht="15">
      <c r="E1662" s="9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</row>
    <row r="1663" spans="5:30" ht="15">
      <c r="E1663" s="9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</row>
    <row r="1664" spans="5:30" ht="15">
      <c r="E1664" s="9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</row>
    <row r="1665" spans="5:30" ht="15">
      <c r="E1665" s="9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</row>
    <row r="1666" spans="5:30" ht="15">
      <c r="E1666" s="9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</row>
    <row r="1667" spans="5:30" ht="15">
      <c r="E1667" s="9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</row>
    <row r="1668" spans="5:30" ht="15">
      <c r="E1668" s="9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</row>
    <row r="1669" spans="5:30" ht="15">
      <c r="E1669" s="9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</row>
    <row r="1670" spans="5:30" ht="15">
      <c r="E1670" s="9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</row>
    <row r="1671" spans="5:30" ht="15">
      <c r="E1671" s="9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</row>
    <row r="1672" spans="5:30" ht="15">
      <c r="E1672" s="9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</row>
    <row r="1673" spans="5:30" ht="15">
      <c r="E1673" s="9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</row>
    <row r="1674" spans="5:30" ht="15">
      <c r="E1674" s="9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</row>
    <row r="1675" spans="5:30" ht="15">
      <c r="E1675" s="9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</row>
    <row r="1676" spans="5:30" ht="15">
      <c r="E1676" s="9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</row>
    <row r="1677" spans="5:30" ht="15">
      <c r="E1677" s="9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</row>
    <row r="1678" spans="5:30" ht="15">
      <c r="E1678" s="9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</row>
    <row r="1679" spans="5:30" ht="15">
      <c r="E1679" s="9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</row>
    <row r="1680" spans="5:30" ht="15">
      <c r="E1680" s="9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</row>
    <row r="1681" spans="5:30" ht="15">
      <c r="E1681" s="9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</row>
    <row r="1682" spans="5:30" ht="15">
      <c r="E1682" s="9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</row>
    <row r="1683" spans="5:30" ht="15">
      <c r="E1683" s="9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</row>
    <row r="1684" spans="5:30" ht="15">
      <c r="E1684" s="9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</row>
    <row r="1685" spans="5:30" ht="15">
      <c r="E1685" s="9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</row>
    <row r="1686" spans="5:30" ht="15">
      <c r="E1686" s="9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</row>
    <row r="1687" spans="5:30" ht="15">
      <c r="E1687" s="9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</row>
    <row r="1688" spans="5:30" ht="15">
      <c r="E1688" s="9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</row>
    <row r="1689" spans="5:30" ht="15">
      <c r="E1689" s="9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</row>
    <row r="1690" spans="5:30" ht="15">
      <c r="E1690" s="9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</row>
    <row r="1691" spans="5:30" ht="15">
      <c r="E1691" s="9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</row>
    <row r="1692" spans="5:30" ht="15">
      <c r="E1692" s="9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</row>
    <row r="1693" spans="5:30" ht="15">
      <c r="E1693" s="9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</row>
    <row r="1694" spans="5:30" ht="15">
      <c r="E1694" s="9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</row>
    <row r="1695" spans="5:30" ht="15">
      <c r="E1695" s="9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</row>
    <row r="1696" spans="5:30" ht="15">
      <c r="E1696" s="9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</row>
    <row r="1697" spans="5:30" ht="15">
      <c r="E1697" s="9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</row>
    <row r="1698" spans="5:30" ht="15">
      <c r="E1698" s="9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</row>
    <row r="1699" spans="5:30" ht="15">
      <c r="E1699" s="9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</row>
    <row r="1700" spans="5:30" ht="15">
      <c r="E1700" s="9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</row>
    <row r="1701" spans="5:30" ht="15">
      <c r="E1701" s="9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</row>
    <row r="1702" spans="5:30" ht="15">
      <c r="E1702" s="9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</row>
    <row r="1703" spans="5:30" ht="15">
      <c r="E1703" s="9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</row>
    <row r="1704" spans="5:30" ht="15">
      <c r="E1704" s="9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</row>
    <row r="1705" spans="5:30" ht="15">
      <c r="E1705" s="9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</row>
    <row r="1706" spans="5:30" ht="15">
      <c r="E1706" s="9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</row>
    <row r="1707" spans="5:30" ht="15">
      <c r="E1707" s="9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</row>
    <row r="1708" spans="5:30" ht="15">
      <c r="E1708" s="9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</row>
    <row r="1709" spans="5:30" ht="15">
      <c r="E1709" s="9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</row>
    <row r="1710" spans="5:30" ht="15">
      <c r="E1710" s="9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</row>
    <row r="1711" spans="5:30" ht="15">
      <c r="E1711" s="9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</row>
    <row r="1712" spans="5:30" ht="15">
      <c r="E1712" s="9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</row>
    <row r="1713" spans="5:30" ht="15">
      <c r="E1713" s="9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</row>
    <row r="1714" spans="5:30" ht="15">
      <c r="E1714" s="9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</row>
    <row r="1715" spans="5:30" ht="15">
      <c r="E1715" s="9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</row>
    <row r="1716" spans="5:30" ht="15">
      <c r="E1716" s="9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</row>
    <row r="1717" spans="5:30" ht="15">
      <c r="E1717" s="9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</row>
    <row r="1718" spans="5:30" ht="15">
      <c r="E1718" s="9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</row>
    <row r="1719" spans="5:30" ht="15">
      <c r="E1719" s="9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</row>
    <row r="1720" spans="5:30" ht="15">
      <c r="E1720" s="9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</row>
    <row r="1721" spans="5:30" ht="15">
      <c r="E1721" s="9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</row>
    <row r="1722" spans="5:30" ht="15">
      <c r="E1722" s="9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</row>
    <row r="1723" spans="5:30" ht="15">
      <c r="E1723" s="9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</row>
    <row r="1724" spans="5:30" ht="15">
      <c r="E1724" s="9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</row>
    <row r="1725" spans="5:30" ht="15">
      <c r="E1725" s="9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</row>
    <row r="1726" spans="5:30" ht="15">
      <c r="E1726" s="9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</row>
    <row r="1727" spans="5:30" ht="15">
      <c r="E1727" s="9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</row>
    <row r="1728" spans="5:30" ht="15">
      <c r="E1728" s="9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</row>
    <row r="1729" spans="5:30" ht="15">
      <c r="E1729" s="9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</row>
    <row r="1730" spans="5:30" ht="15">
      <c r="E1730" s="9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</row>
    <row r="1731" spans="5:30" ht="15">
      <c r="E1731" s="9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</row>
    <row r="1732" spans="5:30" ht="15">
      <c r="E1732" s="9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</row>
    <row r="1733" spans="5:30" ht="15">
      <c r="E1733" s="9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</row>
    <row r="1734" spans="5:30" ht="15">
      <c r="E1734" s="9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</row>
    <row r="1735" spans="5:30" ht="15">
      <c r="E1735" s="9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</row>
    <row r="1736" spans="5:30" ht="15">
      <c r="E1736" s="9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</row>
    <row r="1737" spans="5:30" ht="15">
      <c r="E1737" s="9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</row>
    <row r="1738" spans="5:30" ht="15">
      <c r="E1738" s="9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</row>
    <row r="1739" spans="5:30" ht="15">
      <c r="E1739" s="9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</row>
    <row r="1740" spans="5:30" ht="15">
      <c r="E1740" s="9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</row>
    <row r="1741" spans="5:30" ht="15">
      <c r="E1741" s="9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</row>
    <row r="1742" spans="5:30" ht="15">
      <c r="E1742" s="9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</row>
    <row r="1743" spans="5:30" ht="15">
      <c r="E1743" s="9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</row>
    <row r="1744" spans="5:30" ht="15">
      <c r="E1744" s="9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</row>
    <row r="1745" spans="5:30" ht="15">
      <c r="E1745" s="9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</row>
    <row r="1746" spans="5:30" ht="15">
      <c r="E1746" s="9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</row>
    <row r="1747" spans="5:30" ht="15">
      <c r="E1747" s="9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</row>
    <row r="1748" spans="5:30" ht="15">
      <c r="E1748" s="9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</row>
    <row r="1749" spans="5:30" ht="15">
      <c r="E1749" s="9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</row>
    <row r="1750" spans="5:30" ht="15">
      <c r="E1750" s="9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</row>
    <row r="1751" spans="5:30" ht="15">
      <c r="E1751" s="9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</row>
    <row r="1752" spans="5:30" ht="15">
      <c r="E1752" s="9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</row>
    <row r="1753" spans="5:30" ht="15">
      <c r="E1753" s="9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</row>
    <row r="1754" spans="5:30" ht="15">
      <c r="E1754" s="9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</row>
    <row r="1755" spans="5:30" ht="15">
      <c r="E1755" s="9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</row>
    <row r="1756" spans="5:30" ht="15">
      <c r="E1756" s="9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</row>
    <row r="1757" spans="5:30" ht="15">
      <c r="E1757" s="9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</row>
    <row r="1758" spans="5:30" ht="15">
      <c r="E1758" s="9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</row>
    <row r="1759" spans="5:30" ht="15">
      <c r="E1759" s="9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</row>
    <row r="1760" spans="5:30" ht="15">
      <c r="E1760" s="9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</row>
    <row r="1761" spans="5:30" ht="15">
      <c r="E1761" s="9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</row>
    <row r="1762" spans="5:30" ht="15">
      <c r="E1762" s="9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</row>
    <row r="1763" spans="5:30" ht="15">
      <c r="E1763" s="9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</row>
    <row r="1764" spans="5:30" ht="15">
      <c r="E1764" s="9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</row>
    <row r="1765" spans="5:30" ht="15">
      <c r="E1765" s="9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</row>
    <row r="1766" spans="5:30" ht="15">
      <c r="E1766" s="9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</row>
    <row r="1767" spans="5:30" ht="15">
      <c r="E1767" s="9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</row>
    <row r="1768" spans="5:30" ht="15">
      <c r="E1768" s="9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</row>
    <row r="1769" spans="5:30" ht="15">
      <c r="E1769" s="9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</row>
    <row r="1770" spans="5:30" ht="15">
      <c r="E1770" s="9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</row>
    <row r="1771" spans="5:30" ht="15">
      <c r="E1771" s="9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</row>
    <row r="1772" spans="5:30" ht="15">
      <c r="E1772" s="9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</row>
    <row r="1773" spans="5:30" ht="15">
      <c r="E1773" s="9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</row>
    <row r="1774" spans="5:30" ht="15">
      <c r="E1774" s="9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</row>
    <row r="1775" spans="5:30" ht="15">
      <c r="E1775" s="9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</row>
    <row r="1776" spans="5:30" ht="15">
      <c r="E1776" s="9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</row>
    <row r="1777" spans="5:30" ht="15">
      <c r="E1777" s="9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</row>
    <row r="1778" spans="5:30" ht="15">
      <c r="E1778" s="9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</row>
    <row r="1779" spans="5:30" ht="15">
      <c r="E1779" s="9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</row>
    <row r="1780" spans="5:30" ht="15">
      <c r="E1780" s="9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</row>
    <row r="1781" spans="5:30" ht="15">
      <c r="E1781" s="9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</row>
    <row r="1782" spans="5:30" ht="15">
      <c r="E1782" s="9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</row>
    <row r="1783" spans="5:30" ht="15">
      <c r="E1783" s="9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</row>
    <row r="1784" spans="5:30" ht="15">
      <c r="E1784" s="9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</row>
    <row r="1785" spans="5:30" ht="15">
      <c r="E1785" s="9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</row>
    <row r="1786" spans="5:30" ht="15">
      <c r="E1786" s="9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</row>
    <row r="1787" spans="5:30" ht="15">
      <c r="E1787" s="9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</row>
    <row r="1788" spans="5:30" ht="15">
      <c r="E1788" s="9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</row>
    <row r="1789" spans="5:30" ht="15">
      <c r="E1789" s="9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</row>
    <row r="1790" spans="5:30" ht="15">
      <c r="E1790" s="9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</row>
    <row r="1791" spans="5:30" ht="15">
      <c r="E1791" s="9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</row>
    <row r="1792" spans="5:30" ht="15">
      <c r="E1792" s="9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</row>
    <row r="1793" spans="5:30" ht="15">
      <c r="E1793" s="9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</row>
    <row r="1794" spans="5:30" ht="15">
      <c r="E1794" s="9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</row>
    <row r="1795" spans="5:30" ht="15">
      <c r="E1795" s="9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</row>
    <row r="1796" spans="5:30" ht="15">
      <c r="E1796" s="9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</row>
    <row r="1797" spans="5:30" ht="15">
      <c r="E1797" s="9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</row>
    <row r="1798" spans="5:30" ht="15">
      <c r="E1798" s="9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</row>
    <row r="1799" spans="5:30" ht="15">
      <c r="E1799" s="9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</row>
    <row r="1800" spans="5:30" ht="15">
      <c r="E1800" s="9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</row>
    <row r="1801" spans="5:30" ht="15">
      <c r="E1801" s="9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</row>
    <row r="1802" spans="5:30" ht="15">
      <c r="E1802" s="9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</row>
    <row r="1803" spans="5:30" ht="15">
      <c r="E1803" s="9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</row>
    <row r="1804" spans="5:30" ht="15">
      <c r="E1804" s="9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</row>
    <row r="1805" spans="5:30" ht="15">
      <c r="E1805" s="9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</row>
    <row r="1806" spans="5:30" ht="15">
      <c r="E1806" s="9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</row>
    <row r="1807" spans="5:30" ht="15">
      <c r="E1807" s="9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</row>
    <row r="1808" spans="5:30" ht="15">
      <c r="E1808" s="9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</row>
    <row r="1809" spans="5:30" ht="15">
      <c r="E1809" s="9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</row>
    <row r="1810" spans="5:30" ht="15">
      <c r="E1810" s="9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</row>
    <row r="1811" spans="5:30" ht="15">
      <c r="E1811" s="9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</row>
    <row r="1812" spans="5:30" ht="15">
      <c r="E1812" s="9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</row>
    <row r="1813" spans="5:30" ht="15">
      <c r="E1813" s="9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</row>
    <row r="1814" spans="5:30" ht="15">
      <c r="E1814" s="9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</row>
    <row r="1815" spans="5:30" ht="15">
      <c r="E1815" s="9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</row>
    <row r="1816" spans="5:30" ht="15">
      <c r="E1816" s="9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</row>
    <row r="1817" spans="5:30" ht="15">
      <c r="E1817" s="9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</row>
    <row r="1818" spans="5:30" ht="15">
      <c r="E1818" s="9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</row>
    <row r="1819" spans="5:30" ht="15">
      <c r="E1819" s="9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</row>
    <row r="1820" spans="5:30" ht="15">
      <c r="E1820" s="9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</row>
    <row r="1821" spans="5:30" ht="15">
      <c r="E1821" s="9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</row>
    <row r="1822" spans="5:30" ht="15">
      <c r="E1822" s="9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</row>
    <row r="1823" spans="5:30" ht="15">
      <c r="E1823" s="9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</row>
    <row r="1824" spans="5:30" ht="15">
      <c r="E1824" s="9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</row>
    <row r="1825" spans="5:30" ht="15">
      <c r="E1825" s="9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</row>
    <row r="1826" spans="5:30" ht="15">
      <c r="E1826" s="9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</row>
    <row r="1827" spans="5:30" ht="15">
      <c r="E1827" s="9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</row>
    <row r="1828" spans="5:30" ht="15">
      <c r="E1828" s="9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</row>
    <row r="1829" spans="5:30" ht="15">
      <c r="E1829" s="9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</row>
    <row r="1830" spans="5:30" ht="15">
      <c r="E1830" s="9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</row>
    <row r="1831" spans="5:30" ht="15">
      <c r="E1831" s="9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</row>
    <row r="1832" spans="5:30" ht="15">
      <c r="E1832" s="9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</row>
    <row r="1833" spans="5:30" ht="15">
      <c r="E1833" s="9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</row>
    <row r="1834" spans="5:30" ht="15">
      <c r="E1834" s="9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</row>
    <row r="1835" spans="5:30" ht="15">
      <c r="E1835" s="9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</row>
    <row r="1836" spans="5:30" ht="15">
      <c r="E1836" s="9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</row>
    <row r="1837" spans="5:30" ht="15">
      <c r="E1837" s="9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</row>
    <row r="1838" spans="5:30" ht="15">
      <c r="E1838" s="9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</row>
    <row r="1839" spans="5:30" ht="15">
      <c r="E1839" s="9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</row>
    <row r="1840" spans="5:30" ht="15">
      <c r="E1840" s="9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</row>
    <row r="1841" spans="5:30" ht="15">
      <c r="E1841" s="9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</row>
    <row r="1842" spans="5:30" ht="15">
      <c r="E1842" s="9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</row>
    <row r="1843" spans="5:30" ht="15">
      <c r="E1843" s="9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</row>
    <row r="1844" spans="5:30" ht="15">
      <c r="E1844" s="9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</row>
    <row r="1845" spans="5:30" ht="15">
      <c r="E1845" s="9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</row>
    <row r="1846" spans="5:30" ht="15">
      <c r="E1846" s="9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</row>
    <row r="1847" spans="5:30" ht="15">
      <c r="E1847" s="9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</row>
    <row r="1848" spans="5:30" ht="15">
      <c r="E1848" s="9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</row>
    <row r="1849" spans="5:30" ht="15">
      <c r="E1849" s="9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</row>
    <row r="1850" spans="5:30" ht="15">
      <c r="E1850" s="9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</row>
    <row r="1851" spans="5:30" ht="15">
      <c r="E1851" s="9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</row>
    <row r="1852" spans="5:30" ht="15">
      <c r="E1852" s="9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</row>
    <row r="1853" spans="5:30" ht="15">
      <c r="E1853" s="9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</row>
    <row r="1854" spans="5:30" ht="15">
      <c r="E1854" s="9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</row>
    <row r="1855" spans="5:30" ht="15">
      <c r="E1855" s="9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</row>
    <row r="1856" spans="5:30" ht="15">
      <c r="E1856" s="9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</row>
    <row r="1857" spans="5:30" ht="15">
      <c r="E1857" s="9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</row>
    <row r="1858" spans="5:30" ht="15">
      <c r="E1858" s="9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</row>
    <row r="1859" spans="5:30" ht="15">
      <c r="E1859" s="9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</row>
    <row r="1860" spans="5:30" ht="15">
      <c r="E1860" s="9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</row>
    <row r="1861" spans="5:30" ht="15">
      <c r="E1861" s="9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</row>
    <row r="1862" spans="5:30" ht="15">
      <c r="E1862" s="9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</row>
    <row r="1863" spans="5:30" ht="15">
      <c r="E1863" s="9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</row>
    <row r="1864" spans="5:30" ht="15">
      <c r="E1864" s="9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</row>
    <row r="1865" spans="5:30" ht="15">
      <c r="E1865" s="9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</row>
    <row r="1866" spans="5:30" ht="15">
      <c r="E1866" s="9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</row>
    <row r="1867" spans="5:30" ht="15">
      <c r="E1867" s="9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</row>
    <row r="1868" spans="5:30" ht="15">
      <c r="E1868" s="9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</row>
    <row r="1869" spans="5:30" ht="15">
      <c r="E1869" s="9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</row>
    <row r="1870" spans="5:30" ht="15">
      <c r="E1870" s="9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</row>
    <row r="1871" spans="5:30" ht="15">
      <c r="E1871" s="9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</row>
    <row r="1872" spans="5:30" ht="15">
      <c r="E1872" s="9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</row>
    <row r="1873" spans="5:30" ht="15">
      <c r="E1873" s="9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</row>
    <row r="1874" spans="5:30" ht="15">
      <c r="E1874" s="9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</row>
    <row r="1875" spans="5:30" ht="15">
      <c r="E1875" s="9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</row>
    <row r="1876" spans="5:30" ht="15">
      <c r="E1876" s="9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</row>
    <row r="1877" spans="5:30" ht="15">
      <c r="E1877" s="9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</row>
    <row r="1878" spans="5:30" ht="15">
      <c r="E1878" s="9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</row>
    <row r="1879" spans="5:30" ht="15">
      <c r="E1879" s="9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</row>
    <row r="1880" spans="5:30" ht="15">
      <c r="E1880" s="9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</row>
    <row r="1881" spans="5:30" ht="15">
      <c r="E1881" s="9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</row>
    <row r="1882" spans="5:30" ht="15">
      <c r="E1882" s="9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</row>
    <row r="1883" spans="5:30" ht="15">
      <c r="E1883" s="9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</row>
    <row r="1884" spans="5:30" ht="15">
      <c r="E1884" s="9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</row>
    <row r="1885" spans="5:30" ht="15">
      <c r="E1885" s="9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</row>
    <row r="1886" spans="5:30" ht="15">
      <c r="E1886" s="9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</row>
    <row r="1887" spans="5:30" ht="15">
      <c r="E1887" s="9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</row>
    <row r="1888" spans="5:30" ht="15">
      <c r="E1888" s="9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</row>
    <row r="1889" spans="5:30" ht="15">
      <c r="E1889" s="9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</row>
    <row r="1890" spans="5:30" ht="15">
      <c r="E1890" s="9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</row>
    <row r="1891" spans="5:30" ht="15">
      <c r="E1891" s="9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</row>
    <row r="1892" spans="5:30" ht="15">
      <c r="E1892" s="9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</row>
    <row r="1893" spans="5:30" ht="15">
      <c r="E1893" s="9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</row>
    <row r="1894" spans="5:30" ht="15">
      <c r="E1894" s="9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</row>
    <row r="1895" spans="5:30" ht="15">
      <c r="E1895" s="9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</row>
    <row r="1896" spans="5:30" ht="15">
      <c r="E1896" s="9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</row>
    <row r="1897" spans="5:30" ht="15">
      <c r="E1897" s="9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</row>
    <row r="1898" spans="5:30" ht="15">
      <c r="E1898" s="9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</row>
    <row r="1899" spans="5:30" ht="15">
      <c r="E1899" s="9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</row>
    <row r="1900" spans="5:30" ht="15">
      <c r="E1900" s="9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</row>
    <row r="1901" spans="5:30" ht="15">
      <c r="E1901" s="9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</row>
    <row r="1902" spans="5:30" ht="15">
      <c r="E1902" s="9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</row>
    <row r="1903" spans="5:30" ht="15">
      <c r="E1903" s="9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</row>
    <row r="1904" spans="5:30" ht="15">
      <c r="E1904" s="9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</row>
    <row r="1905" spans="5:30" ht="15">
      <c r="E1905" s="9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</row>
    <row r="1906" spans="5:30" ht="15">
      <c r="E1906" s="9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</row>
    <row r="1907" spans="5:30" ht="15">
      <c r="E1907" s="9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</row>
    <row r="1908" spans="5:30" ht="15">
      <c r="E1908" s="9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</row>
    <row r="1909" spans="5:30" ht="15">
      <c r="E1909" s="9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</row>
    <row r="1910" spans="5:30" ht="15">
      <c r="E1910" s="9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</row>
    <row r="1911" spans="5:30" ht="15">
      <c r="E1911" s="9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</row>
    <row r="1912" spans="5:30" ht="15">
      <c r="E1912" s="9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</row>
    <row r="1913" spans="5:30" ht="15">
      <c r="E1913" s="9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</row>
    <row r="1914" spans="5:30" ht="15">
      <c r="E1914" s="9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</row>
    <row r="1915" spans="5:30" ht="15">
      <c r="E1915" s="9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</row>
    <row r="1916" spans="5:30" ht="15">
      <c r="E1916" s="9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</row>
    <row r="1917" spans="5:30" ht="15">
      <c r="E1917" s="9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</row>
    <row r="1918" spans="5:30" ht="15">
      <c r="E1918" s="9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</row>
    <row r="1919" spans="5:30" ht="15">
      <c r="E1919" s="9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</row>
    <row r="1920" spans="5:30" ht="15">
      <c r="E1920" s="9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</row>
    <row r="1921" spans="5:30" ht="15">
      <c r="E1921" s="9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</row>
    <row r="1922" spans="5:30" ht="15">
      <c r="E1922" s="9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</row>
    <row r="1923" spans="5:30" ht="15">
      <c r="E1923" s="9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</row>
    <row r="1924" spans="5:30" ht="15">
      <c r="E1924" s="9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</row>
    <row r="1925" spans="5:30" ht="15">
      <c r="E1925" s="9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</row>
    <row r="1926" spans="5:30" ht="15">
      <c r="E1926" s="9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</row>
    <row r="1927" spans="5:30" ht="15">
      <c r="E1927" s="9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</row>
    <row r="1928" spans="5:30" ht="15">
      <c r="E1928" s="9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</row>
    <row r="1929" spans="5:30" ht="15">
      <c r="E1929" s="9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</row>
    <row r="1930" spans="5:30" ht="15">
      <c r="E1930" s="9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</row>
    <row r="1931" spans="5:30" ht="15">
      <c r="E1931" s="9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</row>
    <row r="1932" spans="5:30" ht="15">
      <c r="E1932" s="9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</row>
    <row r="1933" spans="5:30" ht="15">
      <c r="E1933" s="9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</row>
    <row r="1934" spans="5:30" ht="15">
      <c r="E1934" s="9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</row>
    <row r="1935" spans="5:30" ht="15">
      <c r="E1935" s="9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</row>
    <row r="1936" spans="5:30" ht="15">
      <c r="E1936" s="9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</row>
    <row r="1937" spans="5:30" ht="15">
      <c r="E1937" s="9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</row>
    <row r="1938" spans="5:30" ht="15">
      <c r="E1938" s="9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</row>
    <row r="1939" spans="5:30" ht="15">
      <c r="E1939" s="9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</row>
    <row r="1940" spans="5:30" ht="15">
      <c r="E1940" s="9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</row>
    <row r="1941" spans="5:30" ht="15">
      <c r="E1941" s="9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</row>
    <row r="1942" spans="5:30" ht="15">
      <c r="E1942" s="9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</row>
    <row r="1943" spans="5:30" ht="15">
      <c r="E1943" s="9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</row>
    <row r="1944" spans="5:30" ht="15">
      <c r="E1944" s="9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</row>
    <row r="1945" spans="5:30" ht="15">
      <c r="E1945" s="9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</row>
    <row r="1946" spans="5:30" ht="15">
      <c r="E1946" s="9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</row>
    <row r="1947" spans="5:30" ht="15">
      <c r="E1947" s="9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</row>
    <row r="1948" spans="5:30" ht="15">
      <c r="E1948" s="9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</row>
    <row r="1949" spans="5:30" ht="15">
      <c r="E1949" s="9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</row>
    <row r="1950" spans="5:30" ht="15">
      <c r="E1950" s="9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</row>
    <row r="1951" spans="5:30" ht="15">
      <c r="E1951" s="9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</row>
    <row r="1952" spans="5:30" ht="15">
      <c r="E1952" s="9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</row>
    <row r="1953" spans="5:30" ht="15">
      <c r="E1953" s="9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</row>
    <row r="1954" spans="5:30" ht="15">
      <c r="E1954" s="9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</row>
    <row r="1955" spans="5:30" ht="15">
      <c r="E1955" s="9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</row>
    <row r="1956" spans="5:30" ht="15">
      <c r="E1956" s="9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</row>
    <row r="1957" spans="5:30" ht="15">
      <c r="E1957" s="9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</row>
    <row r="1958" spans="5:30" ht="15">
      <c r="E1958" s="9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</row>
    <row r="1959" spans="5:30" ht="15">
      <c r="E1959" s="9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</row>
    <row r="1960" spans="5:30" ht="15">
      <c r="E1960" s="9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</row>
    <row r="1961" spans="5:30" ht="15">
      <c r="E1961" s="9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</row>
    <row r="1962" spans="5:30" ht="15">
      <c r="E1962" s="9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</row>
    <row r="1963" spans="5:30" ht="15">
      <c r="E1963" s="9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</row>
    <row r="1964" spans="5:30" ht="15">
      <c r="E1964" s="9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</row>
    <row r="1965" spans="5:30" ht="15">
      <c r="E1965" s="9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</row>
    <row r="1966" spans="5:30" ht="15">
      <c r="E1966" s="9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</row>
    <row r="1967" spans="5:30" ht="15">
      <c r="E1967" s="9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</row>
    <row r="1968" spans="5:30" ht="15">
      <c r="E1968" s="9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</row>
    <row r="1969" spans="5:30" ht="15">
      <c r="E1969" s="9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</row>
    <row r="1970" spans="5:30" ht="15">
      <c r="E1970" s="9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</row>
    <row r="1971" spans="5:30" ht="15">
      <c r="E1971" s="9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</row>
    <row r="1972" spans="5:30" ht="15">
      <c r="E1972" s="9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</row>
    <row r="1973" spans="5:30" ht="15">
      <c r="E1973" s="9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</row>
    <row r="1974" spans="5:30" ht="15">
      <c r="E1974" s="9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</row>
    <row r="1975" spans="5:30" ht="15">
      <c r="E1975" s="9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</row>
    <row r="1976" spans="5:30" ht="15">
      <c r="E1976" s="9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</row>
    <row r="1977" spans="5:30" ht="15">
      <c r="E1977" s="9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</row>
    <row r="1978" spans="5:30" ht="15">
      <c r="E1978" s="9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</row>
    <row r="1979" spans="5:30" ht="15">
      <c r="E1979" s="9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</row>
    <row r="1980" spans="5:30" ht="15">
      <c r="E1980" s="9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</row>
    <row r="1981" spans="5:30" ht="15">
      <c r="E1981" s="9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</row>
    <row r="1982" spans="5:30" ht="15">
      <c r="E1982" s="9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</row>
    <row r="1983" spans="5:30" ht="15">
      <c r="E1983" s="9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</row>
    <row r="1984" spans="5:30" ht="15">
      <c r="E1984" s="9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</row>
    <row r="1985" spans="5:30" ht="15">
      <c r="E1985" s="9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</row>
    <row r="1986" spans="5:30" ht="15">
      <c r="E1986" s="9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</row>
    <row r="1987" spans="5:30" ht="15">
      <c r="E1987" s="9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</row>
    <row r="1988" spans="5:30" ht="15">
      <c r="E1988" s="9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</row>
    <row r="1989" spans="5:30" ht="15">
      <c r="E1989" s="9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</row>
    <row r="1990" spans="5:30" ht="15">
      <c r="E1990" s="9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</row>
    <row r="1991" spans="5:30" ht="15">
      <c r="E1991" s="9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</row>
    <row r="1992" spans="5:30" ht="15">
      <c r="E1992" s="9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</row>
    <row r="1993" spans="5:30" ht="15">
      <c r="E1993" s="9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</row>
    <row r="1994" spans="5:30" ht="15">
      <c r="E1994" s="9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</row>
    <row r="1995" spans="5:30" ht="15">
      <c r="E1995" s="9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</row>
    <row r="1996" spans="5:30" ht="15">
      <c r="E1996" s="9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</row>
    <row r="1997" spans="5:30" ht="15">
      <c r="E1997" s="9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</row>
    <row r="1998" spans="5:30" ht="15">
      <c r="E1998" s="9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</row>
    <row r="1999" spans="5:30" ht="15">
      <c r="E1999" s="9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</row>
    <row r="2000" spans="5:30" ht="15">
      <c r="E2000" s="9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</row>
    <row r="2001" spans="5:30" ht="15">
      <c r="E2001" s="9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</row>
    <row r="2002" spans="5:30" ht="15">
      <c r="E2002" s="9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</row>
    <row r="2003" spans="5:30" ht="15">
      <c r="E2003" s="9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</row>
    <row r="2004" spans="5:30" ht="15">
      <c r="E2004" s="9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</row>
    <row r="2005" spans="5:30" ht="15">
      <c r="E2005" s="9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</row>
    <row r="2006" spans="5:30" ht="15">
      <c r="E2006" s="9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</row>
    <row r="2007" spans="5:30" ht="15">
      <c r="E2007" s="9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</row>
    <row r="2008" spans="5:30" ht="15">
      <c r="E2008" s="9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</row>
    <row r="2009" spans="5:30" ht="15">
      <c r="E2009" s="9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</row>
    <row r="2010" spans="5:30" ht="15">
      <c r="E2010" s="9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</row>
    <row r="2011" spans="5:30" ht="15">
      <c r="E2011" s="9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</row>
    <row r="2012" spans="5:30" ht="15">
      <c r="E2012" s="9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</row>
    <row r="2013" spans="5:30" ht="15">
      <c r="E2013" s="9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</row>
    <row r="2014" spans="5:30" ht="15">
      <c r="E2014" s="9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</row>
    <row r="2015" spans="5:30" ht="15">
      <c r="E2015" s="9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</row>
    <row r="2016" spans="5:30" ht="15">
      <c r="E2016" s="9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</row>
    <row r="2017" spans="5:30" ht="15">
      <c r="E2017" s="9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</row>
    <row r="2018" spans="5:30" ht="15">
      <c r="E2018" s="9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</row>
    <row r="2019" spans="5:30" ht="15">
      <c r="E2019" s="9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</row>
    <row r="2020" spans="5:30" ht="15">
      <c r="E2020" s="9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</row>
    <row r="2021" spans="5:30" ht="15">
      <c r="E2021" s="9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</row>
    <row r="2022" spans="5:30" ht="15">
      <c r="E2022" s="9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</row>
    <row r="2023" spans="5:30" ht="15">
      <c r="E2023" s="9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</row>
    <row r="2024" spans="5:30" ht="15">
      <c r="E2024" s="9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</row>
    <row r="2025" spans="5:30" ht="15">
      <c r="E2025" s="9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</row>
    <row r="2026" spans="5:30" ht="15">
      <c r="E2026" s="9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</row>
    <row r="2027" spans="5:30" ht="15">
      <c r="E2027" s="9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</row>
    <row r="2028" spans="5:30" ht="15">
      <c r="E2028" s="9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</row>
    <row r="2029" spans="5:30" ht="15">
      <c r="E2029" s="9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</row>
    <row r="2030" spans="5:30" ht="15">
      <c r="E2030" s="9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</row>
    <row r="2031" spans="5:30" ht="15">
      <c r="E2031" s="9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</row>
    <row r="2032" spans="5:30" ht="15">
      <c r="E2032" s="9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</row>
    <row r="2033" spans="5:30" ht="15">
      <c r="E2033" s="9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</row>
    <row r="2034" spans="5:30" ht="15">
      <c r="E2034" s="9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</row>
    <row r="2035" spans="5:30" ht="15">
      <c r="E2035" s="9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</row>
    <row r="2036" spans="5:30" ht="15">
      <c r="E2036" s="9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</row>
    <row r="2037" spans="5:30" ht="15">
      <c r="E2037" s="9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</row>
    <row r="2038" spans="5:30" ht="15">
      <c r="E2038" s="9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</row>
    <row r="2039" spans="5:30" ht="15">
      <c r="E2039" s="9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</row>
    <row r="2040" spans="5:30" ht="15">
      <c r="E2040" s="9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</row>
    <row r="2041" spans="5:30" ht="15">
      <c r="E2041" s="9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</row>
    <row r="2042" spans="5:30" ht="15">
      <c r="E2042" s="9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</row>
    <row r="2043" spans="5:30" ht="15">
      <c r="E2043" s="9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</row>
    <row r="2044" spans="5:30" ht="15">
      <c r="E2044" s="9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</row>
    <row r="2045" spans="5:30" ht="15">
      <c r="E2045" s="9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</row>
    <row r="2046" spans="5:30" ht="15">
      <c r="E2046" s="9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</row>
    <row r="2047" spans="5:30" ht="15">
      <c r="E2047" s="9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</row>
    <row r="2048" spans="5:30" ht="15">
      <c r="E2048" s="9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</row>
    <row r="2049" spans="5:30" ht="15">
      <c r="E2049" s="9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</row>
    <row r="2050" spans="5:30" ht="15">
      <c r="E2050" s="9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</row>
    <row r="2051" spans="5:30" ht="15">
      <c r="E2051" s="9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</row>
    <row r="2052" spans="5:30" ht="15">
      <c r="E2052" s="9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</row>
    <row r="2053" spans="5:30" ht="15">
      <c r="E2053" s="9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</row>
    <row r="2054" spans="5:30" ht="15">
      <c r="E2054" s="9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</row>
    <row r="2055" spans="5:30" ht="15">
      <c r="E2055" s="9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</row>
    <row r="2056" spans="5:30" ht="15">
      <c r="E2056" s="9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</row>
    <row r="2057" spans="5:30" ht="15">
      <c r="E2057" s="9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</row>
    <row r="2058" spans="5:30" ht="15">
      <c r="E2058" s="9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</row>
    <row r="2059" spans="5:30" ht="15">
      <c r="E2059" s="9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</row>
    <row r="2060" spans="5:30" ht="15">
      <c r="E2060" s="9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</row>
    <row r="2061" spans="5:30" ht="15">
      <c r="E2061" s="9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</row>
    <row r="2062" spans="5:30" ht="15">
      <c r="E2062" s="9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</row>
    <row r="2063" spans="5:30" ht="15">
      <c r="E2063" s="9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</row>
    <row r="2064" spans="5:30" ht="15">
      <c r="E2064" s="9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</row>
    <row r="2065" spans="5:30" ht="15">
      <c r="E2065" s="9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</row>
    <row r="2066" spans="5:30" ht="15">
      <c r="E2066" s="9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</row>
    <row r="2067" spans="5:30" ht="15">
      <c r="E2067" s="9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</row>
    <row r="2068" spans="5:30" ht="15">
      <c r="E2068" s="9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</row>
    <row r="2069" spans="5:30" ht="15">
      <c r="E2069" s="9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</row>
    <row r="2070" spans="5:30" ht="15">
      <c r="E2070" s="9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</row>
    <row r="2071" spans="5:30" ht="15">
      <c r="E2071" s="9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</row>
    <row r="2072" spans="5:30" ht="15">
      <c r="E2072" s="9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</row>
    <row r="2073" spans="5:30" ht="15">
      <c r="E2073" s="9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</row>
    <row r="2074" spans="5:30" ht="15">
      <c r="E2074" s="9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</row>
    <row r="2075" spans="5:30" ht="15">
      <c r="E2075" s="9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</row>
    <row r="2076" spans="5:30" ht="15">
      <c r="E2076" s="9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</row>
    <row r="2077" spans="5:30" ht="15">
      <c r="E2077" s="9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</row>
    <row r="2078" spans="5:30" ht="15">
      <c r="E2078" s="9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</row>
    <row r="2079" spans="5:30" ht="15">
      <c r="E2079" s="9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</row>
    <row r="2080" spans="5:30" ht="15">
      <c r="E2080" s="9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</row>
    <row r="2081" spans="5:30" ht="15">
      <c r="E2081" s="9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</row>
    <row r="2082" spans="5:30" ht="15">
      <c r="E2082" s="9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</row>
    <row r="2083" spans="5:30" ht="15">
      <c r="E2083" s="9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</row>
    <row r="2084" spans="5:30" ht="15">
      <c r="E2084" s="9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</row>
    <row r="2085" spans="5:30" ht="15">
      <c r="E2085" s="9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</row>
    <row r="2086" spans="5:30" ht="15">
      <c r="E2086" s="9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</row>
    <row r="2087" spans="5:30" ht="15">
      <c r="E2087" s="9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</row>
    <row r="2088" spans="5:30" ht="15">
      <c r="E2088" s="9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</row>
    <row r="2089" spans="5:30" ht="15">
      <c r="E2089" s="9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</row>
    <row r="2090" spans="5:30" ht="15">
      <c r="E2090" s="9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</row>
    <row r="2091" spans="5:30" ht="15">
      <c r="E2091" s="9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</row>
    <row r="2092" spans="5:30" ht="15">
      <c r="E2092" s="9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</row>
    <row r="2093" spans="5:30" ht="15">
      <c r="E2093" s="9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</row>
    <row r="2094" spans="5:30" ht="15">
      <c r="E2094" s="9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</row>
    <row r="2095" spans="5:30" ht="15">
      <c r="E2095" s="9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</row>
    <row r="2096" spans="5:30" ht="15">
      <c r="E2096" s="9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</row>
    <row r="2097" spans="5:30" ht="15">
      <c r="E2097" s="9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</row>
    <row r="2098" spans="5:30" ht="15">
      <c r="E2098" s="9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</row>
    <row r="2099" spans="5:30" ht="15">
      <c r="E2099" s="9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</row>
    <row r="2100" spans="5:30" ht="15">
      <c r="E2100" s="9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</row>
    <row r="2101" spans="5:30" ht="15">
      <c r="E2101" s="9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</row>
    <row r="2102" spans="5:30" ht="15">
      <c r="E2102" s="9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</row>
    <row r="2103" spans="5:30" ht="15">
      <c r="E2103" s="9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</row>
    <row r="2104" spans="5:30" ht="15">
      <c r="E2104" s="9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</row>
    <row r="2105" spans="5:30" ht="15">
      <c r="E2105" s="9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</row>
    <row r="2106" spans="5:30" ht="15">
      <c r="E2106" s="9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</row>
    <row r="2107" spans="5:30" ht="15">
      <c r="E2107" s="9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</row>
    <row r="2108" spans="5:30" ht="15">
      <c r="E2108" s="9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</row>
    <row r="2109" spans="5:30" ht="15">
      <c r="E2109" s="9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</row>
    <row r="2110" spans="5:30" ht="15">
      <c r="E2110" s="9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</row>
    <row r="2111" spans="5:30" ht="15">
      <c r="E2111" s="9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</row>
    <row r="2112" spans="5:30" ht="15">
      <c r="E2112" s="9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</row>
    <row r="2113" spans="5:30" ht="15">
      <c r="E2113" s="9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</row>
    <row r="2114" spans="5:30" ht="15">
      <c r="E2114" s="9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</row>
    <row r="2115" spans="5:30" ht="15">
      <c r="E2115" s="9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</row>
    <row r="2116" spans="5:30" ht="15">
      <c r="E2116" s="9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</row>
    <row r="2117" spans="5:30" ht="15">
      <c r="E2117" s="9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</row>
    <row r="2118" spans="5:30" ht="15">
      <c r="E2118" s="9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</row>
    <row r="2119" spans="5:30" ht="15">
      <c r="E2119" s="9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</row>
    <row r="2120" spans="5:30" ht="15">
      <c r="E2120" s="9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</row>
    <row r="2121" spans="5:30" ht="15">
      <c r="E2121" s="9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</row>
    <row r="2122" spans="5:30" ht="15">
      <c r="E2122" s="9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</row>
    <row r="2123" spans="5:30" ht="15">
      <c r="E2123" s="9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</row>
    <row r="2124" spans="5:30" ht="15">
      <c r="E2124" s="9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</row>
    <row r="2125" spans="5:30" ht="15">
      <c r="E2125" s="9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</row>
    <row r="2126" spans="5:30" ht="15">
      <c r="E2126" s="9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</row>
    <row r="2127" spans="5:30" ht="15">
      <c r="E2127" s="9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</row>
    <row r="2128" spans="5:30" ht="15">
      <c r="E2128" s="9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</row>
    <row r="2129" spans="5:30" ht="15">
      <c r="E2129" s="9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</row>
    <row r="2130" spans="5:30" ht="15">
      <c r="E2130" s="9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</row>
    <row r="2131" spans="5:30" ht="15">
      <c r="E2131" s="9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</row>
    <row r="2132" spans="5:30" ht="15">
      <c r="E2132" s="9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</row>
    <row r="2133" spans="5:30" ht="15">
      <c r="E2133" s="9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</row>
    <row r="2134" spans="5:30" ht="15">
      <c r="E2134" s="9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</row>
    <row r="2135" spans="5:30" ht="15">
      <c r="E2135" s="9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</row>
    <row r="2136" spans="5:30" ht="15">
      <c r="E2136" s="9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</row>
    <row r="2137" spans="5:30" ht="15">
      <c r="E2137" s="9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</row>
    <row r="2138" spans="5:30" ht="15">
      <c r="E2138" s="9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</row>
    <row r="2139" spans="5:30" ht="15">
      <c r="E2139" s="9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</row>
    <row r="2140" spans="5:30" ht="15">
      <c r="E2140" s="9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</row>
    <row r="2141" spans="5:30" ht="15">
      <c r="E2141" s="9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</row>
    <row r="2142" spans="5:30" ht="15">
      <c r="E2142" s="9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</row>
    <row r="2143" spans="5:30" ht="15">
      <c r="E2143" s="9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</row>
    <row r="2144" spans="5:30" ht="15">
      <c r="E2144" s="9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</row>
    <row r="2145" spans="5:30" ht="15">
      <c r="E2145" s="9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</row>
    <row r="2146" spans="5:30" ht="15">
      <c r="E2146" s="9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</row>
    <row r="2147" spans="5:30" ht="15">
      <c r="E2147" s="9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</row>
    <row r="2148" spans="5:30" ht="15">
      <c r="E2148" s="9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</row>
    <row r="2149" spans="5:30" ht="15">
      <c r="E2149" s="9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</row>
    <row r="2150" spans="5:30" ht="15">
      <c r="E2150" s="9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</row>
    <row r="2151" spans="5:30" ht="15">
      <c r="E2151" s="9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</row>
    <row r="2152" spans="5:30" ht="15">
      <c r="E2152" s="9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</row>
    <row r="2153" spans="5:30" ht="15">
      <c r="E2153" s="9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</row>
    <row r="2154" spans="5:30" ht="15">
      <c r="E2154" s="9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</row>
    <row r="2155" spans="5:30" ht="15">
      <c r="E2155" s="9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</row>
    <row r="2156" spans="5:30" ht="15">
      <c r="E2156" s="9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</row>
    <row r="2157" spans="5:30" ht="15">
      <c r="E2157" s="9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</row>
    <row r="2158" spans="5:30" ht="15">
      <c r="E2158" s="9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</row>
    <row r="2159" spans="5:30" ht="15">
      <c r="E2159" s="9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</row>
    <row r="2160" spans="5:30" ht="15">
      <c r="E2160" s="9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</row>
    <row r="2161" spans="5:30" ht="15">
      <c r="E2161" s="9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</row>
    <row r="2162" spans="5:30" ht="15">
      <c r="E2162" s="9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</row>
    <row r="2163" spans="5:30" ht="15">
      <c r="E2163" s="9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</row>
    <row r="2164" spans="5:30" ht="15">
      <c r="E2164" s="9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</row>
    <row r="2165" spans="5:30" ht="15">
      <c r="E2165" s="9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</row>
    <row r="2166" spans="5:30" ht="15">
      <c r="E2166" s="9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</row>
    <row r="2167" spans="5:30" ht="15">
      <c r="E2167" s="9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</row>
    <row r="2168" spans="5:30" ht="15">
      <c r="E2168" s="9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</row>
    <row r="2169" spans="5:30" ht="15">
      <c r="E2169" s="9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</row>
    <row r="2170" spans="5:30" ht="15">
      <c r="E2170" s="9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</row>
    <row r="2171" spans="5:30" ht="15">
      <c r="E2171" s="9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</row>
    <row r="2172" spans="5:30" ht="15">
      <c r="E2172" s="9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</row>
    <row r="2173" spans="5:30" ht="15">
      <c r="E2173" s="9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</row>
    <row r="2174" spans="5:30" ht="15">
      <c r="E2174" s="9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</row>
    <row r="2175" spans="5:30" ht="15">
      <c r="E2175" s="9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</row>
    <row r="2176" spans="5:30" ht="15">
      <c r="E2176" s="9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</row>
    <row r="2177" spans="5:30" ht="15">
      <c r="E2177" s="9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</row>
    <row r="2178" spans="5:30" ht="15">
      <c r="E2178" s="9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</row>
    <row r="2179" spans="5:30" ht="15">
      <c r="E2179" s="9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</row>
    <row r="2180" spans="5:30" ht="15">
      <c r="E2180" s="9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</row>
    <row r="2181" spans="5:30" ht="15">
      <c r="E2181" s="9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</row>
    <row r="2182" spans="5:30" ht="15">
      <c r="E2182" s="9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</row>
    <row r="2183" spans="5:30" ht="15">
      <c r="E2183" s="9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</row>
    <row r="2184" spans="5:30" ht="15">
      <c r="E2184" s="9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</row>
    <row r="2185" spans="5:30" ht="15">
      <c r="E2185" s="9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</row>
    <row r="2186" spans="5:30" ht="15">
      <c r="E2186" s="9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</row>
    <row r="2187" spans="5:30" ht="15">
      <c r="E2187" s="9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</row>
    <row r="2188" spans="5:30" ht="15">
      <c r="E2188" s="9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</row>
    <row r="2189" spans="5:30" ht="15">
      <c r="E2189" s="9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</row>
    <row r="2190" spans="5:30" ht="15">
      <c r="E2190" s="9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</row>
    <row r="2191" spans="5:30" ht="15">
      <c r="E2191" s="9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</row>
    <row r="2192" spans="5:30" ht="15">
      <c r="E2192" s="9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</row>
    <row r="2193" spans="5:30" ht="15">
      <c r="E2193" s="9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</row>
    <row r="2194" spans="5:30" ht="15">
      <c r="E2194" s="9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</row>
    <row r="2195" spans="5:30" ht="15">
      <c r="E2195" s="9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</row>
    <row r="2196" spans="5:30" ht="15">
      <c r="E2196" s="9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</row>
    <row r="2197" spans="5:30" ht="15">
      <c r="E2197" s="9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</row>
    <row r="2198" spans="5:30" ht="15">
      <c r="E2198" s="9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</row>
    <row r="2199" spans="5:30" ht="15">
      <c r="E2199" s="9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</row>
    <row r="2200" spans="5:30" ht="15">
      <c r="E2200" s="9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</row>
    <row r="2201" spans="5:30" ht="15">
      <c r="E2201" s="9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</row>
    <row r="2202" spans="5:30" ht="15">
      <c r="E2202" s="9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</row>
    <row r="2203" spans="5:30" ht="15">
      <c r="E2203" s="9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</row>
    <row r="2204" spans="5:30" ht="15">
      <c r="E2204" s="9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</row>
    <row r="2205" spans="5:30" ht="15">
      <c r="E2205" s="9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</row>
    <row r="2206" spans="5:30" ht="15">
      <c r="E2206" s="9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</row>
    <row r="2207" spans="5:30" ht="15">
      <c r="E2207" s="9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</row>
    <row r="2208" spans="5:30" ht="15">
      <c r="E2208" s="9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</row>
    <row r="2209" spans="5:30" ht="15">
      <c r="E2209" s="9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</row>
    <row r="2210" spans="5:30" ht="15">
      <c r="E2210" s="9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</row>
    <row r="2211" spans="5:30" ht="15">
      <c r="E2211" s="9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</row>
    <row r="2212" spans="5:30" ht="15">
      <c r="E2212" s="9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</row>
    <row r="2213" spans="5:30" ht="15">
      <c r="E2213" s="9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</row>
    <row r="2214" spans="5:30" ht="15">
      <c r="E2214" s="9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</row>
    <row r="2215" spans="5:30" ht="15">
      <c r="E2215" s="9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</row>
    <row r="2216" spans="5:30" ht="15">
      <c r="E2216" s="9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</row>
    <row r="2217" spans="5:30" ht="15">
      <c r="E2217" s="9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</row>
    <row r="2218" spans="5:30" ht="15">
      <c r="E2218" s="9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</row>
    <row r="2219" spans="5:30" ht="15">
      <c r="E2219" s="9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</row>
    <row r="2220" spans="5:30" ht="15">
      <c r="E2220" s="9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</row>
    <row r="2221" spans="5:30" ht="15">
      <c r="E2221" s="9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</row>
    <row r="2222" spans="5:30" ht="15">
      <c r="E2222" s="9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</row>
    <row r="2223" spans="5:30" ht="15">
      <c r="E2223" s="9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</row>
    <row r="2224" spans="5:30" ht="15">
      <c r="E2224" s="9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</row>
    <row r="2225" spans="5:30" ht="15">
      <c r="E2225" s="9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</row>
    <row r="2226" spans="5:30" ht="15">
      <c r="E2226" s="9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</row>
    <row r="2227" spans="5:30" ht="15">
      <c r="E2227" s="9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</row>
    <row r="2228" spans="5:30" ht="15">
      <c r="E2228" s="9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</row>
    <row r="2229" spans="5:30" ht="15">
      <c r="E2229" s="9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</row>
    <row r="2230" spans="5:30" ht="15">
      <c r="E2230" s="9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</row>
    <row r="2231" spans="5:30" ht="15">
      <c r="E2231" s="9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</row>
    <row r="2232" spans="5:30" ht="15">
      <c r="E2232" s="9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</row>
    <row r="2233" spans="5:30" ht="15">
      <c r="E2233" s="9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</row>
    <row r="2234" spans="5:30" ht="15">
      <c r="E2234" s="9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</row>
    <row r="2235" spans="5:30" ht="15">
      <c r="E2235" s="9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</row>
    <row r="2236" spans="5:30" ht="15">
      <c r="E2236" s="9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</row>
    <row r="2237" spans="5:30" ht="15">
      <c r="E2237" s="9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</row>
    <row r="2238" spans="5:30" ht="15">
      <c r="E2238" s="9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</row>
    <row r="2239" spans="5:30" ht="15">
      <c r="E2239" s="9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</row>
    <row r="2240" spans="5:30" ht="15">
      <c r="E2240" s="9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</row>
    <row r="2241" spans="5:30" ht="15">
      <c r="E2241" s="9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</row>
    <row r="2242" spans="5:30" ht="15">
      <c r="E2242" s="9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</row>
    <row r="2243" spans="5:30" ht="15">
      <c r="E2243" s="9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</row>
    <row r="2244" spans="5:30" ht="15">
      <c r="E2244" s="9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</row>
    <row r="2245" spans="5:30" ht="15">
      <c r="E2245" s="9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</row>
    <row r="2246" spans="5:30" ht="15">
      <c r="E2246" s="9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</row>
    <row r="2247" spans="5:30" ht="15">
      <c r="E2247" s="9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</row>
    <row r="2248" spans="5:30" ht="15">
      <c r="E2248" s="9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</row>
    <row r="2249" spans="5:30" ht="15">
      <c r="E2249" s="9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</row>
    <row r="2250" spans="5:30" ht="15">
      <c r="E2250" s="9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</row>
    <row r="2251" spans="5:30" ht="15">
      <c r="E2251" s="9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</row>
    <row r="2252" spans="5:30" ht="15">
      <c r="E2252" s="9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</row>
    <row r="2253" spans="5:30" ht="15">
      <c r="E2253" s="9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</row>
    <row r="2254" spans="5:30" ht="15">
      <c r="E2254" s="9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</row>
    <row r="2255" spans="5:30" ht="15">
      <c r="E2255" s="9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</row>
    <row r="2256" spans="5:30" ht="15">
      <c r="E2256" s="9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</row>
    <row r="2257" spans="5:30" ht="15">
      <c r="E2257" s="9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</row>
    <row r="2258" spans="5:30" ht="15">
      <c r="E2258" s="9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</row>
    <row r="2259" spans="5:30" ht="15">
      <c r="E2259" s="9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</row>
    <row r="2260" spans="5:30" ht="15">
      <c r="E2260" s="9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</row>
    <row r="2261" spans="5:30" ht="15">
      <c r="E2261" s="9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</row>
    <row r="2262" spans="5:30" ht="15">
      <c r="E2262" s="9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</row>
    <row r="2263" spans="5:30" ht="15">
      <c r="E2263" s="9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</row>
    <row r="2264" spans="5:30" ht="15">
      <c r="E2264" s="9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</row>
    <row r="2265" spans="5:30" ht="15">
      <c r="E2265" s="9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</row>
    <row r="2266" spans="5:30" ht="15">
      <c r="E2266" s="9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</row>
    <row r="2267" spans="5:30" ht="15">
      <c r="E2267" s="9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</row>
    <row r="2268" spans="5:30" ht="15">
      <c r="E2268" s="9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</row>
    <row r="2269" spans="5:30" ht="15">
      <c r="E2269" s="9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</row>
    <row r="2270" spans="5:30" ht="15">
      <c r="E2270" s="9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</row>
    <row r="2271" spans="5:30" ht="15">
      <c r="E2271" s="9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</row>
    <row r="2272" spans="5:30" ht="15">
      <c r="E2272" s="9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</row>
    <row r="2273" spans="5:30" ht="15">
      <c r="E2273" s="9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</row>
    <row r="2274" spans="5:30" ht="15">
      <c r="E2274" s="9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</row>
    <row r="2275" spans="5:30" ht="15">
      <c r="E2275" s="9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</row>
    <row r="2276" spans="5:30" ht="15">
      <c r="E2276" s="9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</row>
    <row r="2277" spans="5:30" ht="15">
      <c r="E2277" s="9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</row>
    <row r="2278" spans="5:30" ht="15">
      <c r="E2278" s="9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</row>
    <row r="2279" spans="5:30" ht="15">
      <c r="E2279" s="9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</row>
    <row r="2280" spans="5:30" ht="15">
      <c r="E2280" s="9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</row>
    <row r="2281" spans="5:30" ht="15">
      <c r="E2281" s="9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</row>
    <row r="2282" spans="5:30" ht="15">
      <c r="E2282" s="9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</row>
    <row r="2283" spans="5:30" ht="15">
      <c r="E2283" s="9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</row>
    <row r="2284" spans="5:30" ht="15">
      <c r="E2284" s="9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</row>
    <row r="2285" spans="5:30" ht="15">
      <c r="E2285" s="9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</row>
    <row r="2286" spans="5:30" ht="15">
      <c r="E2286" s="9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</row>
    <row r="2287" spans="5:30" ht="15">
      <c r="E2287" s="9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</row>
    <row r="2288" spans="5:30" ht="15">
      <c r="E2288" s="9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</row>
    <row r="2289" spans="5:30" ht="15">
      <c r="E2289" s="9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</row>
    <row r="2290" spans="5:30" ht="15">
      <c r="E2290" s="9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</row>
    <row r="2291" spans="5:30" ht="15">
      <c r="E2291" s="9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</row>
    <row r="2292" spans="5:30" ht="15">
      <c r="E2292" s="9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</row>
    <row r="2293" spans="5:30" ht="15">
      <c r="E2293" s="9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</row>
    <row r="2294" spans="5:30" ht="15">
      <c r="E2294" s="9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</row>
    <row r="2295" spans="5:30" ht="15">
      <c r="E2295" s="9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</row>
    <row r="2296" spans="5:30" ht="15">
      <c r="E2296" s="9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</row>
    <row r="2297" spans="5:30" ht="15">
      <c r="E2297" s="9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</row>
    <row r="2298" spans="5:30" ht="15">
      <c r="E2298" s="9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</row>
    <row r="2299" spans="5:30" ht="15">
      <c r="E2299" s="9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</row>
    <row r="2300" spans="5:30" ht="15">
      <c r="E2300" s="9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</row>
    <row r="2301" spans="5:30" ht="15">
      <c r="E2301" s="9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</row>
    <row r="2302" spans="5:30" ht="15">
      <c r="E2302" s="9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</row>
    <row r="2303" spans="5:30" ht="15">
      <c r="E2303" s="9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</row>
    <row r="2304" spans="5:30" ht="15">
      <c r="E2304" s="9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</row>
    <row r="2305" spans="5:30" ht="15">
      <c r="E2305" s="9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</row>
    <row r="2306" spans="5:30" ht="15">
      <c r="E2306" s="9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</row>
    <row r="2307" spans="5:30" ht="15">
      <c r="E2307" s="9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</row>
    <row r="2308" spans="5:30" ht="15">
      <c r="E2308" s="9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</row>
    <row r="2309" spans="5:30" ht="15">
      <c r="E2309" s="9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</row>
    <row r="2310" spans="5:30" ht="15">
      <c r="E2310" s="9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</row>
    <row r="2311" spans="5:30" ht="15">
      <c r="E2311" s="9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</row>
    <row r="2312" spans="5:30" ht="15">
      <c r="E2312" s="9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</row>
    <row r="2313" spans="5:30" ht="15">
      <c r="E2313" s="9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</row>
    <row r="2314" spans="5:30" ht="15">
      <c r="E2314" s="9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</row>
    <row r="2315" spans="5:30" ht="15">
      <c r="E2315" s="9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</row>
    <row r="2316" spans="5:30" ht="15">
      <c r="E2316" s="9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</row>
    <row r="2317" spans="5:30" ht="15">
      <c r="E2317" s="9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</row>
    <row r="2318" spans="5:30" ht="15">
      <c r="E2318" s="9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</row>
    <row r="2319" spans="5:30" ht="15">
      <c r="E2319" s="9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</row>
    <row r="2320" spans="5:30" ht="15">
      <c r="E2320" s="9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</row>
    <row r="2321" spans="5:30" ht="15">
      <c r="E2321" s="9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</row>
    <row r="2322" spans="5:30" ht="15">
      <c r="E2322" s="9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</row>
    <row r="2323" spans="5:30" ht="15">
      <c r="E2323" s="9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</row>
    <row r="2324" spans="5:30" ht="15">
      <c r="E2324" s="9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</row>
    <row r="2325" spans="5:30" ht="15">
      <c r="E2325" s="9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</row>
    <row r="2326" spans="5:30" ht="15">
      <c r="E2326" s="9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</row>
    <row r="2327" spans="5:30" ht="15">
      <c r="E2327" s="9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</row>
    <row r="2328" spans="5:30" ht="15">
      <c r="E2328" s="9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</row>
    <row r="2329" spans="5:30" ht="15">
      <c r="E2329" s="9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</row>
    <row r="2330" spans="5:30" ht="15">
      <c r="E2330" s="9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</row>
    <row r="2331" spans="5:30" ht="15">
      <c r="E2331" s="9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</row>
    <row r="2332" spans="5:30" ht="15">
      <c r="E2332" s="9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</row>
    <row r="2333" spans="5:30" ht="15">
      <c r="E2333" s="9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</row>
    <row r="2334" spans="5:30" ht="15">
      <c r="E2334" s="9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</row>
    <row r="2335" spans="5:30" ht="15">
      <c r="E2335" s="9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</row>
    <row r="2336" spans="5:30" ht="15">
      <c r="E2336" s="9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</row>
    <row r="2337" spans="5:30" ht="15">
      <c r="E2337" s="9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</row>
    <row r="2338" spans="5:30" ht="15">
      <c r="E2338" s="9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</row>
    <row r="2339" spans="5:30" ht="15">
      <c r="E2339" s="9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</row>
    <row r="2340" spans="5:30" ht="15">
      <c r="E2340" s="9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</row>
    <row r="2341" spans="5:30" ht="15">
      <c r="E2341" s="9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</row>
    <row r="2342" spans="5:30" ht="15">
      <c r="E2342" s="9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</row>
    <row r="2343" spans="5:30" ht="15">
      <c r="E2343" s="9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</row>
    <row r="2344" spans="5:30" ht="15">
      <c r="E2344" s="9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</row>
    <row r="2345" spans="5:30" ht="15">
      <c r="E2345" s="9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</row>
    <row r="2346" spans="5:30" ht="15">
      <c r="E2346" s="9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</row>
    <row r="2347" spans="5:30" ht="15">
      <c r="E2347" s="9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</row>
    <row r="2348" spans="5:30" ht="15">
      <c r="E2348" s="9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</row>
    <row r="2349" spans="5:30" ht="15">
      <c r="E2349" s="9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</row>
    <row r="2350" spans="5:30" ht="15">
      <c r="E2350" s="9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</row>
    <row r="2351" spans="5:30" ht="15">
      <c r="E2351" s="9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</row>
    <row r="2352" spans="5:30" ht="15">
      <c r="E2352" s="9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</row>
    <row r="2353" spans="5:30" ht="15">
      <c r="E2353" s="9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</row>
    <row r="2354" spans="5:30" ht="15">
      <c r="E2354" s="9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</row>
    <row r="2355" spans="5:30" ht="15">
      <c r="E2355" s="9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</row>
    <row r="2356" spans="5:30" ht="15">
      <c r="E2356" s="9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</row>
    <row r="2357" spans="5:30" ht="15">
      <c r="E2357" s="9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</row>
    <row r="2358" spans="5:30" ht="15">
      <c r="E2358" s="9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</row>
    <row r="2359" spans="5:30" ht="15">
      <c r="E2359" s="9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</row>
    <row r="2360" spans="5:30" ht="15">
      <c r="E2360" s="9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</row>
    <row r="2361" spans="5:30" ht="15">
      <c r="E2361" s="9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</row>
    <row r="2362" spans="5:30" ht="15">
      <c r="E2362" s="9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</row>
    <row r="2363" spans="5:30" ht="15">
      <c r="E2363" s="9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</row>
    <row r="2364" spans="5:30" ht="15">
      <c r="E2364" s="9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</row>
    <row r="2365" spans="5:30" ht="15">
      <c r="E2365" s="9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</row>
    <row r="2366" spans="5:30" ht="15">
      <c r="E2366" s="9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</row>
    <row r="2367" spans="5:30" ht="15">
      <c r="E2367" s="9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</row>
    <row r="2368" spans="5:30" ht="15">
      <c r="E2368" s="9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</row>
    <row r="2369" spans="5:30" ht="15">
      <c r="E2369" s="9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</row>
    <row r="2370" spans="5:30" ht="15">
      <c r="E2370" s="9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</row>
    <row r="2371" spans="5:30" ht="15">
      <c r="E2371" s="9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</row>
    <row r="2372" spans="5:30" ht="15">
      <c r="E2372" s="9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</row>
    <row r="2373" spans="5:30" ht="15">
      <c r="E2373" s="9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</row>
    <row r="2374" spans="5:30" ht="15">
      <c r="E2374" s="9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</row>
    <row r="2375" spans="5:30" ht="15">
      <c r="E2375" s="9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</row>
    <row r="2376" spans="5:30" ht="15">
      <c r="E2376" s="9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</row>
    <row r="2377" spans="5:30" ht="15">
      <c r="E2377" s="9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</row>
    <row r="2378" spans="5:30" ht="15">
      <c r="E2378" s="9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</row>
    <row r="2379" spans="5:30" ht="15">
      <c r="E2379" s="9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</row>
    <row r="2380" spans="5:30" ht="15">
      <c r="E2380" s="9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</row>
    <row r="2381" spans="5:30" ht="15">
      <c r="E2381" s="9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</row>
    <row r="2382" spans="5:30" ht="15">
      <c r="E2382" s="9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</row>
    <row r="2383" spans="5:30" ht="15">
      <c r="E2383" s="9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</row>
    <row r="2384" spans="5:30" ht="15">
      <c r="E2384" s="9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</row>
    <row r="2385" spans="5:30" ht="15">
      <c r="E2385" s="9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</row>
    <row r="2386" spans="5:30" ht="15">
      <c r="E2386" s="9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</row>
    <row r="2387" spans="5:30" ht="15">
      <c r="E2387" s="9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</row>
    <row r="2388" spans="5:30" ht="15">
      <c r="E2388" s="9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</row>
    <row r="2389" spans="5:30" ht="15">
      <c r="E2389" s="9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</row>
    <row r="2390" spans="5:30" ht="15">
      <c r="E2390" s="9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</row>
    <row r="2391" spans="5:30" ht="15">
      <c r="E2391" s="9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</row>
    <row r="2392" spans="5:30" ht="15">
      <c r="E2392" s="9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</row>
    <row r="2393" spans="5:30" ht="15">
      <c r="E2393" s="9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</row>
    <row r="2394" spans="5:30" ht="15">
      <c r="E2394" s="9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</row>
    <row r="2395" spans="5:30" ht="15">
      <c r="E2395" s="9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</row>
    <row r="2396" spans="5:30" ht="15">
      <c r="E2396" s="9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</row>
    <row r="2397" spans="5:30" ht="15">
      <c r="E2397" s="9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</row>
    <row r="2398" spans="5:30" ht="15">
      <c r="E2398" s="9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</row>
    <row r="2399" spans="5:30" ht="15">
      <c r="E2399" s="9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</row>
    <row r="2400" spans="5:30" ht="15">
      <c r="E2400" s="9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</row>
    <row r="2401" spans="5:30" ht="15">
      <c r="E2401" s="9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</row>
    <row r="2402" spans="5:30" ht="15">
      <c r="E2402" s="9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</row>
    <row r="2403" spans="5:30" ht="15">
      <c r="E2403" s="9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</row>
    <row r="2404" spans="5:30" ht="15">
      <c r="E2404" s="9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</row>
    <row r="2405" spans="5:30" ht="15">
      <c r="E2405" s="9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</row>
    <row r="2406" spans="5:30" ht="15">
      <c r="E2406" s="9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</row>
    <row r="2407" spans="5:30" ht="15">
      <c r="E2407" s="9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</row>
    <row r="2408" spans="5:30" ht="15">
      <c r="E2408" s="9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</row>
    <row r="2409" spans="5:30" ht="15">
      <c r="E2409" s="9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</row>
    <row r="2410" spans="5:30" ht="15">
      <c r="E2410" s="9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</row>
    <row r="2411" spans="5:30" ht="15">
      <c r="E2411" s="9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</row>
    <row r="2412" spans="5:30" ht="15">
      <c r="E2412" s="9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</row>
    <row r="2413" spans="5:30" ht="15">
      <c r="E2413" s="9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</row>
    <row r="2414" spans="5:30" ht="15">
      <c r="E2414" s="9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</row>
    <row r="2415" spans="5:30" ht="15">
      <c r="E2415" s="9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</row>
    <row r="2416" spans="5:30" ht="15">
      <c r="E2416" s="9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</row>
    <row r="2417" spans="5:30" ht="15">
      <c r="E2417" s="9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</row>
    <row r="2418" spans="5:30" ht="15">
      <c r="E2418" s="9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</row>
    <row r="2419" spans="5:30" ht="15">
      <c r="E2419" s="9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</row>
    <row r="2420" spans="5:30" ht="15">
      <c r="E2420" s="9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</row>
    <row r="2421" spans="5:30" ht="15">
      <c r="E2421" s="9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</row>
    <row r="2422" spans="5:30" ht="15">
      <c r="E2422" s="9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</row>
    <row r="2423" spans="5:30" ht="15">
      <c r="E2423" s="9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</row>
    <row r="2424" spans="5:30" ht="15">
      <c r="E2424" s="9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</row>
    <row r="2425" spans="5:30" ht="15">
      <c r="E2425" s="9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</row>
    <row r="2426" spans="5:30" ht="15">
      <c r="E2426" s="9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</row>
    <row r="2427" spans="5:30" ht="15">
      <c r="E2427" s="9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</row>
    <row r="2428" spans="5:30" ht="15">
      <c r="E2428" s="9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</row>
    <row r="2429" spans="5:30" ht="15">
      <c r="E2429" s="9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</row>
    <row r="2430" spans="5:30" ht="15">
      <c r="E2430" s="9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</row>
    <row r="2431" spans="5:30" ht="15">
      <c r="E2431" s="9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</row>
    <row r="2432" spans="5:30" ht="15">
      <c r="E2432" s="9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</row>
    <row r="2433" spans="5:30" ht="15">
      <c r="E2433" s="9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</row>
    <row r="2434" spans="5:30" ht="15">
      <c r="E2434" s="9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</row>
    <row r="2435" spans="5:30" ht="15">
      <c r="E2435" s="9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</row>
    <row r="2436" spans="5:30" ht="15">
      <c r="E2436" s="9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</row>
    <row r="2437" spans="5:30" ht="15">
      <c r="E2437" s="9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</row>
    <row r="2438" spans="5:30" ht="15">
      <c r="E2438" s="9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</row>
    <row r="2439" spans="5:30" ht="15">
      <c r="E2439" s="9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</row>
    <row r="2440" spans="5:30" ht="15">
      <c r="E2440" s="9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</row>
    <row r="2441" spans="5:30" ht="15">
      <c r="E2441" s="9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</row>
    <row r="2442" spans="5:30" ht="15">
      <c r="E2442" s="9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</row>
    <row r="2443" spans="5:30" ht="15">
      <c r="E2443" s="9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</row>
    <row r="2444" spans="5:30" ht="15">
      <c r="E2444" s="9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</row>
    <row r="2445" spans="5:30" ht="15">
      <c r="E2445" s="9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</row>
    <row r="2446" spans="5:30" ht="15">
      <c r="E2446" s="9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</row>
    <row r="2447" spans="5:30" ht="15">
      <c r="E2447" s="9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</row>
    <row r="2448" spans="5:30" ht="15">
      <c r="E2448" s="9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</row>
    <row r="2449" spans="5:30" ht="15">
      <c r="E2449" s="9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</row>
    <row r="2450" spans="5:30" ht="15">
      <c r="E2450" s="9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</row>
    <row r="2451" spans="5:30" ht="15">
      <c r="E2451" s="9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</row>
    <row r="2452" spans="5:30" ht="15">
      <c r="E2452" s="9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</row>
    <row r="2453" spans="5:30" ht="15">
      <c r="E2453" s="9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</row>
    <row r="2454" spans="5:30" ht="15">
      <c r="E2454" s="9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</row>
    <row r="2455" spans="5:30" ht="15">
      <c r="E2455" s="9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/>
      <c r="AD2455" s="5"/>
    </row>
    <row r="2456" spans="5:30" ht="15">
      <c r="E2456" s="9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/>
      <c r="AD2456" s="5"/>
    </row>
    <row r="2457" spans="5:30" ht="15">
      <c r="E2457" s="9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/>
      <c r="AD2457" s="5"/>
    </row>
    <row r="2458" spans="5:30" ht="15">
      <c r="E2458" s="9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</row>
    <row r="2459" spans="5:30" ht="15">
      <c r="E2459" s="9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/>
      <c r="AD2459" s="5"/>
    </row>
    <row r="2460" spans="5:30" ht="15">
      <c r="E2460" s="9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/>
      <c r="AD2460" s="5"/>
    </row>
    <row r="2461" spans="5:30" ht="15">
      <c r="E2461" s="9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</row>
    <row r="2462" spans="5:30" ht="15">
      <c r="E2462" s="9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/>
      <c r="AD2462" s="5"/>
    </row>
    <row r="2463" spans="5:30" ht="15">
      <c r="E2463" s="9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/>
      <c r="AD2463" s="5"/>
    </row>
    <row r="2464" spans="5:30" ht="15">
      <c r="E2464" s="9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/>
      <c r="AD2464" s="5"/>
    </row>
    <row r="2465" spans="5:30" ht="15">
      <c r="E2465" s="9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/>
      <c r="AD2465" s="5"/>
    </row>
    <row r="2466" spans="5:30" ht="15">
      <c r="E2466" s="9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/>
      <c r="AD2466" s="5"/>
    </row>
    <row r="2467" spans="5:30" ht="15">
      <c r="E2467" s="9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/>
      <c r="AD2467" s="5"/>
    </row>
    <row r="2468" spans="5:30" ht="15">
      <c r="E2468" s="9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/>
      <c r="AD2468" s="5"/>
    </row>
    <row r="2469" spans="5:30" ht="15">
      <c r="E2469" s="9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/>
      <c r="AD2469" s="5"/>
    </row>
    <row r="2470" spans="5:30" ht="15">
      <c r="E2470" s="9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/>
      <c r="AD2470" s="5"/>
    </row>
    <row r="2471" spans="5:30" ht="15">
      <c r="E2471" s="9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/>
      <c r="AD2471" s="5"/>
    </row>
    <row r="2472" spans="5:30" ht="15">
      <c r="E2472" s="9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/>
      <c r="AD2472" s="5"/>
    </row>
    <row r="2473" spans="5:30" ht="15">
      <c r="E2473" s="9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/>
      <c r="AD2473" s="5"/>
    </row>
    <row r="2474" spans="5:30" ht="15">
      <c r="E2474" s="9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/>
      <c r="AD2474" s="5"/>
    </row>
    <row r="2475" spans="5:30" ht="15">
      <c r="E2475" s="9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/>
      <c r="AD2475" s="5"/>
    </row>
    <row r="2476" spans="5:30" ht="15">
      <c r="E2476" s="9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/>
      <c r="AD2476" s="5"/>
    </row>
    <row r="2477" spans="5:30" ht="15">
      <c r="E2477" s="9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/>
      <c r="AD2477" s="5"/>
    </row>
    <row r="2478" spans="5:30" ht="15">
      <c r="E2478" s="9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/>
      <c r="AD2478" s="5"/>
    </row>
    <row r="2479" spans="5:30" ht="15">
      <c r="E2479" s="9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/>
      <c r="AD2479" s="5"/>
    </row>
    <row r="2480" spans="5:30" ht="15">
      <c r="E2480" s="9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/>
      <c r="AD2480" s="5"/>
    </row>
    <row r="2481" spans="5:30" ht="15">
      <c r="E2481" s="9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/>
      <c r="AD2481" s="5"/>
    </row>
    <row r="2482" spans="5:30" ht="15">
      <c r="E2482" s="9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/>
      <c r="AD2482" s="5"/>
    </row>
    <row r="2483" spans="5:30" ht="15">
      <c r="E2483" s="9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/>
      <c r="AD2483" s="5"/>
    </row>
    <row r="2484" spans="5:30" ht="15">
      <c r="E2484" s="9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/>
      <c r="AD2484" s="5"/>
    </row>
    <row r="2485" spans="5:30" ht="15">
      <c r="E2485" s="9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/>
      <c r="AD2485" s="5"/>
    </row>
    <row r="2486" spans="5:30" ht="15">
      <c r="E2486" s="9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/>
      <c r="AD2486" s="5"/>
    </row>
    <row r="2487" spans="5:30" ht="15">
      <c r="E2487" s="9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</row>
    <row r="2488" spans="5:30" ht="15">
      <c r="E2488" s="9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</row>
    <row r="2489" spans="5:30" ht="15">
      <c r="E2489" s="9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</row>
    <row r="2490" spans="5:30" ht="15">
      <c r="E2490" s="9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/>
      <c r="AD2490" s="5"/>
    </row>
    <row r="2491" spans="5:30" ht="15">
      <c r="E2491" s="9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/>
      <c r="AD2491" s="5"/>
    </row>
    <row r="2492" spans="5:30" ht="15">
      <c r="E2492" s="9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/>
      <c r="AD2492" s="5"/>
    </row>
    <row r="2493" spans="5:30" ht="15">
      <c r="E2493" s="9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/>
      <c r="AD2493" s="5"/>
    </row>
    <row r="2494" spans="5:30" ht="15">
      <c r="E2494" s="9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/>
      <c r="AD2494" s="5"/>
    </row>
    <row r="2495" spans="5:30" ht="15">
      <c r="E2495" s="9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/>
      <c r="AD2495" s="5"/>
    </row>
    <row r="2496" spans="5:30" ht="15">
      <c r="E2496" s="9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/>
      <c r="AD2496" s="5"/>
    </row>
    <row r="2497" spans="5:30" ht="15">
      <c r="E2497" s="9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</row>
    <row r="2498" spans="5:30" ht="15">
      <c r="E2498" s="9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/>
      <c r="AD2498" s="5"/>
    </row>
    <row r="2499" spans="5:30" ht="15">
      <c r="E2499" s="9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/>
      <c r="AD2499" s="5"/>
    </row>
    <row r="2500" spans="5:30" ht="15">
      <c r="E2500" s="9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/>
      <c r="AD2500" s="5"/>
    </row>
    <row r="2501" spans="5:30" ht="15">
      <c r="E2501" s="9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/>
      <c r="AD2501" s="5"/>
    </row>
    <row r="2502" spans="5:30" ht="15">
      <c r="E2502" s="9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/>
      <c r="AD2502" s="5"/>
    </row>
    <row r="2503" spans="5:30" ht="15">
      <c r="E2503" s="9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/>
      <c r="AD2503" s="5"/>
    </row>
    <row r="2504" spans="5:30" ht="15">
      <c r="E2504" s="9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/>
      <c r="AD2504" s="5"/>
    </row>
    <row r="2505" spans="5:30" ht="15">
      <c r="E2505" s="9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/>
      <c r="AD2505" s="5"/>
    </row>
    <row r="2506" spans="5:30" ht="15">
      <c r="E2506" s="9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/>
      <c r="AD2506" s="5"/>
    </row>
    <row r="2507" spans="5:30" ht="15">
      <c r="E2507" s="9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/>
      <c r="AD2507" s="5"/>
    </row>
    <row r="2508" spans="5:30" ht="15">
      <c r="E2508" s="9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/>
      <c r="AD2508" s="5"/>
    </row>
    <row r="2509" spans="5:30" ht="15">
      <c r="E2509" s="9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/>
      <c r="AD2509" s="5"/>
    </row>
    <row r="2510" spans="5:30" ht="15">
      <c r="E2510" s="9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/>
      <c r="AD2510" s="5"/>
    </row>
    <row r="2511" spans="5:30" ht="15">
      <c r="E2511" s="9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/>
      <c r="AD2511" s="5"/>
    </row>
    <row r="2512" spans="5:30" ht="15">
      <c r="E2512" s="9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/>
      <c r="AD2512" s="5"/>
    </row>
    <row r="2513" spans="5:30" ht="15">
      <c r="E2513" s="9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/>
      <c r="AD2513" s="5"/>
    </row>
    <row r="2514" spans="5:30" ht="15">
      <c r="E2514" s="9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/>
      <c r="AD2514" s="5"/>
    </row>
    <row r="2515" spans="5:30" ht="15">
      <c r="E2515" s="9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/>
      <c r="AD2515" s="5"/>
    </row>
    <row r="2516" spans="5:30" ht="15">
      <c r="E2516" s="9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/>
      <c r="AD2516" s="5"/>
    </row>
    <row r="2517" spans="5:30" ht="15">
      <c r="E2517" s="9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/>
      <c r="AD2517" s="5"/>
    </row>
    <row r="2518" spans="5:30" ht="15">
      <c r="E2518" s="9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/>
      <c r="AD2518" s="5"/>
    </row>
    <row r="2519" spans="5:30" ht="15">
      <c r="E2519" s="9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/>
      <c r="AD2519" s="5"/>
    </row>
    <row r="2520" spans="5:30" ht="15">
      <c r="E2520" s="9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/>
      <c r="AD2520" s="5"/>
    </row>
    <row r="2521" spans="5:30" ht="15">
      <c r="E2521" s="9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/>
      <c r="AD2521" s="5"/>
    </row>
    <row r="2522" spans="5:30" ht="15">
      <c r="E2522" s="9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/>
      <c r="AD2522" s="5"/>
    </row>
    <row r="2523" spans="5:30" ht="15">
      <c r="E2523" s="9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/>
      <c r="AD2523" s="5"/>
    </row>
    <row r="2524" spans="5:30" ht="15">
      <c r="E2524" s="9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/>
      <c r="AD2524" s="5"/>
    </row>
    <row r="2525" spans="5:30" ht="15">
      <c r="E2525" s="9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</row>
    <row r="2526" spans="5:30" ht="15">
      <c r="E2526" s="9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/>
      <c r="AD2526" s="5"/>
    </row>
    <row r="2527" spans="5:30" ht="15">
      <c r="E2527" s="9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/>
      <c r="AD2527" s="5"/>
    </row>
    <row r="2528" spans="5:30" ht="15">
      <c r="E2528" s="9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/>
      <c r="AD2528" s="5"/>
    </row>
    <row r="2529" spans="5:30" ht="15">
      <c r="E2529" s="9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/>
      <c r="AD2529" s="5"/>
    </row>
    <row r="2530" spans="5:30" ht="15">
      <c r="E2530" s="9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/>
      <c r="AD2530" s="5"/>
    </row>
    <row r="2531" spans="5:30" ht="15">
      <c r="E2531" s="9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/>
      <c r="AD2531" s="5"/>
    </row>
    <row r="2532" spans="5:30" ht="15">
      <c r="E2532" s="9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/>
      <c r="AD2532" s="5"/>
    </row>
    <row r="2533" spans="5:30" ht="15">
      <c r="E2533" s="9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/>
      <c r="AD2533" s="5"/>
    </row>
    <row r="2534" spans="5:30" ht="15">
      <c r="E2534" s="9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/>
      <c r="AD2534" s="5"/>
    </row>
    <row r="2535" spans="5:30" ht="15">
      <c r="E2535" s="9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/>
      <c r="AD2535" s="5"/>
    </row>
    <row r="2536" spans="5:30" ht="15">
      <c r="E2536" s="9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</row>
    <row r="2537" spans="5:30" ht="15">
      <c r="E2537" s="9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/>
      <c r="AD2537" s="5"/>
    </row>
    <row r="2538" spans="5:30" ht="15">
      <c r="E2538" s="9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/>
      <c r="AD2538" s="5"/>
    </row>
    <row r="2539" spans="5:30" ht="15">
      <c r="E2539" s="9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/>
      <c r="AD2539" s="5"/>
    </row>
    <row r="2540" spans="5:30" ht="15">
      <c r="E2540" s="9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</row>
    <row r="2541" spans="5:30" ht="15">
      <c r="E2541" s="9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</row>
    <row r="2542" spans="5:30" ht="15">
      <c r="E2542" s="9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</row>
    <row r="2543" spans="5:30" ht="15">
      <c r="E2543" s="9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5"/>
      <c r="AD2543" s="5"/>
    </row>
    <row r="2544" spans="5:30" ht="15">
      <c r="E2544" s="9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/>
      <c r="AD2544" s="5"/>
    </row>
    <row r="2545" spans="5:30" ht="15">
      <c r="E2545" s="9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/>
      <c r="AD2545" s="5"/>
    </row>
    <row r="2546" spans="5:30" ht="15">
      <c r="E2546" s="9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/>
      <c r="AD2546" s="5"/>
    </row>
    <row r="2547" spans="5:30" ht="15">
      <c r="E2547" s="9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/>
      <c r="AD2547" s="5"/>
    </row>
    <row r="2548" spans="5:30" ht="15">
      <c r="E2548" s="9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/>
      <c r="AD2548" s="5"/>
    </row>
    <row r="2549" spans="5:30" ht="15">
      <c r="E2549" s="9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/>
      <c r="AD2549" s="5"/>
    </row>
    <row r="2550" spans="5:30" ht="15">
      <c r="E2550" s="9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/>
      <c r="AD2550" s="5"/>
    </row>
    <row r="2551" spans="5:30" ht="15">
      <c r="E2551" s="9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/>
      <c r="AD2551" s="5"/>
    </row>
    <row r="2552" spans="5:30" ht="15">
      <c r="E2552" s="9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/>
      <c r="AD2552" s="5"/>
    </row>
    <row r="2553" spans="5:30" ht="15">
      <c r="E2553" s="9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/>
      <c r="AD2553" s="5"/>
    </row>
    <row r="2554" spans="5:30" ht="15">
      <c r="E2554" s="9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/>
      <c r="AD2554" s="5"/>
    </row>
    <row r="2555" spans="5:30" ht="15">
      <c r="E2555" s="9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/>
      <c r="AD2555" s="5"/>
    </row>
    <row r="2556" spans="5:30" ht="15">
      <c r="E2556" s="9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/>
      <c r="AD2556" s="5"/>
    </row>
    <row r="2557" spans="5:30" ht="15">
      <c r="E2557" s="9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/>
      <c r="AD2557" s="5"/>
    </row>
    <row r="2558" spans="5:30" ht="15">
      <c r="E2558" s="9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/>
      <c r="AD2558" s="5"/>
    </row>
    <row r="2559" spans="5:30" ht="15">
      <c r="E2559" s="9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/>
      <c r="AD2559" s="5"/>
    </row>
    <row r="2560" spans="5:30" ht="15">
      <c r="E2560" s="9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</row>
    <row r="2561" spans="5:30" ht="15">
      <c r="E2561" s="9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</row>
    <row r="2562" spans="5:30" ht="15">
      <c r="E2562" s="9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/>
      <c r="AD2562" s="5"/>
    </row>
    <row r="2563" spans="5:30" ht="15">
      <c r="E2563" s="9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</row>
    <row r="2564" spans="5:30" ht="15">
      <c r="E2564" s="9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/>
      <c r="AD2564" s="5"/>
    </row>
    <row r="2565" spans="5:30" ht="15">
      <c r="E2565" s="9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/>
      <c r="AD2565" s="5"/>
    </row>
    <row r="2566" spans="5:30" ht="15">
      <c r="E2566" s="9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/>
      <c r="AD2566" s="5"/>
    </row>
    <row r="2567" spans="5:30" ht="15">
      <c r="E2567" s="9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/>
      <c r="AD2567" s="5"/>
    </row>
    <row r="2568" spans="5:30" ht="15">
      <c r="E2568" s="9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/>
      <c r="AD2568" s="5"/>
    </row>
    <row r="2569" spans="5:30" ht="15">
      <c r="E2569" s="9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</row>
    <row r="2570" spans="5:30" ht="15">
      <c r="E2570" s="9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/>
      <c r="AD2570" s="5"/>
    </row>
    <row r="2571" spans="5:30" ht="15">
      <c r="E2571" s="9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/>
      <c r="AD2571" s="5"/>
    </row>
    <row r="2572" spans="5:30" ht="15">
      <c r="E2572" s="9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</row>
    <row r="2573" spans="5:30" ht="15">
      <c r="E2573" s="9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/>
      <c r="AD2573" s="5"/>
    </row>
    <row r="2574" spans="5:30" ht="15">
      <c r="E2574" s="9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/>
      <c r="AD2574" s="5"/>
    </row>
    <row r="2575" spans="5:30" ht="15">
      <c r="E2575" s="9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/>
      <c r="AD2575" s="5"/>
    </row>
    <row r="2576" spans="5:30" ht="15">
      <c r="E2576" s="9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/>
      <c r="AD2576" s="5"/>
    </row>
    <row r="2577" spans="5:30" ht="15">
      <c r="E2577" s="9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/>
      <c r="AD2577" s="5"/>
    </row>
    <row r="2578" spans="5:30" ht="15">
      <c r="E2578" s="9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/>
      <c r="AD2578" s="5"/>
    </row>
    <row r="2579" spans="5:30" ht="15">
      <c r="E2579" s="9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/>
      <c r="AD2579" s="5"/>
    </row>
    <row r="2580" spans="5:30" ht="15">
      <c r="E2580" s="9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/>
      <c r="AD2580" s="5"/>
    </row>
    <row r="2581" spans="5:30" ht="15">
      <c r="E2581" s="9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</row>
    <row r="2582" spans="5:30" ht="15">
      <c r="E2582" s="9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/>
      <c r="AD2582" s="5"/>
    </row>
    <row r="2583" spans="5:30" ht="15">
      <c r="E2583" s="9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</row>
    <row r="2584" spans="5:30" ht="15">
      <c r="E2584" s="9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/>
      <c r="AD2584" s="5"/>
    </row>
    <row r="2585" spans="5:30" ht="15">
      <c r="E2585" s="9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/>
      <c r="AD2585" s="5"/>
    </row>
    <row r="2586" spans="5:30" ht="15">
      <c r="E2586" s="9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/>
      <c r="AD2586" s="5"/>
    </row>
    <row r="2587" spans="5:30" ht="15">
      <c r="E2587" s="9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/>
      <c r="AD2587" s="5"/>
    </row>
    <row r="2588" spans="5:30" ht="15">
      <c r="E2588" s="9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/>
      <c r="AD2588" s="5"/>
    </row>
    <row r="2589" spans="5:30" ht="15">
      <c r="E2589" s="9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/>
      <c r="AD2589" s="5"/>
    </row>
    <row r="2590" spans="5:30" ht="15">
      <c r="E2590" s="9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</row>
    <row r="2591" spans="5:30" ht="15">
      <c r="E2591" s="9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/>
      <c r="AD2591" s="5"/>
    </row>
    <row r="2592" spans="5:30" ht="15">
      <c r="E2592" s="9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/>
      <c r="AD2592" s="5"/>
    </row>
    <row r="2593" spans="5:30" ht="15">
      <c r="E2593" s="9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/>
      <c r="AD2593" s="5"/>
    </row>
    <row r="2594" spans="5:30" ht="15">
      <c r="E2594" s="9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/>
      <c r="AD2594" s="5"/>
    </row>
    <row r="2595" spans="5:30" ht="15">
      <c r="E2595" s="9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</row>
    <row r="2596" spans="5:30" ht="15">
      <c r="E2596" s="9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</row>
    <row r="2597" spans="5:30" ht="15">
      <c r="E2597" s="9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</row>
    <row r="2598" spans="5:30" ht="15">
      <c r="E2598" s="9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/>
      <c r="AD2598" s="5"/>
    </row>
    <row r="2599" spans="5:30" ht="15">
      <c r="E2599" s="9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/>
      <c r="AD2599" s="5"/>
    </row>
    <row r="2600" spans="5:30" ht="15">
      <c r="E2600" s="9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/>
      <c r="AD2600" s="5"/>
    </row>
    <row r="2601" spans="5:30" ht="15">
      <c r="E2601" s="9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/>
      <c r="AD2601" s="5"/>
    </row>
    <row r="2602" spans="5:30" ht="15">
      <c r="E2602" s="9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</row>
    <row r="2603" spans="5:30" ht="15">
      <c r="E2603" s="9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/>
      <c r="AD2603" s="5"/>
    </row>
    <row r="2604" spans="5:30" ht="15">
      <c r="E2604" s="9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/>
      <c r="AD2604" s="5"/>
    </row>
    <row r="2605" spans="5:30" ht="15">
      <c r="E2605" s="9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</row>
    <row r="2606" spans="5:30" ht="15">
      <c r="E2606" s="9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/>
      <c r="AD2606" s="5"/>
    </row>
    <row r="2607" spans="5:30" ht="15">
      <c r="E2607" s="9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/>
      <c r="AD2607" s="5"/>
    </row>
    <row r="2608" spans="5:30" ht="15">
      <c r="E2608" s="9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/>
      <c r="AD2608" s="5"/>
    </row>
    <row r="2609" spans="5:30" ht="15">
      <c r="E2609" s="9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/>
      <c r="AD2609" s="5"/>
    </row>
    <row r="2610" spans="5:30" ht="15">
      <c r="E2610" s="9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/>
      <c r="AD2610" s="5"/>
    </row>
    <row r="2611" spans="5:30" ht="15">
      <c r="E2611" s="9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/>
      <c r="AD2611" s="5"/>
    </row>
    <row r="2612" spans="5:30" ht="15">
      <c r="E2612" s="9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/>
      <c r="AD2612" s="5"/>
    </row>
    <row r="2613" spans="5:30" ht="15">
      <c r="E2613" s="9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/>
      <c r="AD2613" s="5"/>
    </row>
    <row r="2614" spans="5:30" ht="15">
      <c r="E2614" s="9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/>
      <c r="AD2614" s="5"/>
    </row>
    <row r="2615" spans="5:30" ht="15">
      <c r="E2615" s="9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/>
      <c r="AD2615" s="5"/>
    </row>
    <row r="2616" spans="5:30" ht="15">
      <c r="E2616" s="9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/>
      <c r="AD2616" s="5"/>
    </row>
    <row r="2617" spans="5:30" ht="15">
      <c r="E2617" s="9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</row>
    <row r="2618" spans="5:30" ht="15">
      <c r="E2618" s="9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/>
      <c r="AD2618" s="5"/>
    </row>
    <row r="2619" spans="5:30" ht="15">
      <c r="E2619" s="9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/>
      <c r="AD2619" s="5"/>
    </row>
    <row r="2620" spans="5:30" ht="15">
      <c r="E2620" s="9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/>
      <c r="AD2620" s="5"/>
    </row>
    <row r="2621" spans="5:30" ht="15">
      <c r="E2621" s="9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/>
      <c r="AD2621" s="5"/>
    </row>
    <row r="2622" spans="5:30" ht="15">
      <c r="E2622" s="9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/>
      <c r="AD2622" s="5"/>
    </row>
    <row r="2623" spans="5:30" ht="15">
      <c r="E2623" s="9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</row>
    <row r="2624" spans="5:30" ht="15">
      <c r="E2624" s="9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/>
      <c r="AD2624" s="5"/>
    </row>
    <row r="2625" spans="5:30" ht="15">
      <c r="E2625" s="9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/>
      <c r="AD2625" s="5"/>
    </row>
    <row r="2626" spans="5:30" ht="15">
      <c r="E2626" s="9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</row>
    <row r="2627" spans="5:30" ht="15">
      <c r="E2627" s="9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/>
      <c r="AD2627" s="5"/>
    </row>
    <row r="2628" spans="5:30" ht="15">
      <c r="E2628" s="9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/>
      <c r="AD2628" s="5"/>
    </row>
    <row r="2629" spans="5:30" ht="15">
      <c r="E2629" s="9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/>
      <c r="AD2629" s="5"/>
    </row>
    <row r="2630" spans="5:30" ht="15">
      <c r="E2630" s="9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/>
      <c r="AD2630" s="5"/>
    </row>
    <row r="2631" spans="5:30" ht="15">
      <c r="E2631" s="9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/>
      <c r="AD2631" s="5"/>
    </row>
    <row r="2632" spans="5:30" ht="15">
      <c r="E2632" s="9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/>
      <c r="AD2632" s="5"/>
    </row>
    <row r="2633" spans="5:30" ht="15">
      <c r="E2633" s="9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</row>
    <row r="2634" spans="5:30" ht="15">
      <c r="E2634" s="9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/>
      <c r="AD2634" s="5"/>
    </row>
    <row r="2635" spans="5:30" ht="15">
      <c r="E2635" s="9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</row>
    <row r="2636" spans="5:30" ht="15">
      <c r="E2636" s="9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/>
      <c r="AD2636" s="5"/>
    </row>
    <row r="2637" spans="5:30" ht="15">
      <c r="E2637" s="9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/>
      <c r="AD2637" s="5"/>
    </row>
    <row r="2638" spans="5:30" ht="15">
      <c r="E2638" s="9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</row>
    <row r="2639" spans="5:30" ht="15">
      <c r="E2639" s="9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/>
      <c r="AD2639" s="5"/>
    </row>
    <row r="2640" spans="5:30" ht="15">
      <c r="E2640" s="9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/>
      <c r="AD2640" s="5"/>
    </row>
    <row r="2641" spans="5:30" ht="15">
      <c r="E2641" s="9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</row>
    <row r="2642" spans="5:30" ht="15">
      <c r="E2642" s="9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/>
      <c r="AD2642" s="5"/>
    </row>
    <row r="2643" spans="5:30" ht="15">
      <c r="E2643" s="9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/>
      <c r="AD2643" s="5"/>
    </row>
    <row r="2644" spans="5:30" ht="15">
      <c r="E2644" s="9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</row>
    <row r="2645" spans="5:30" ht="15">
      <c r="E2645" s="9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/>
      <c r="AD2645" s="5"/>
    </row>
    <row r="2646" spans="5:30" ht="15">
      <c r="E2646" s="9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/>
      <c r="AD2646" s="5"/>
    </row>
    <row r="2647" spans="5:30" ht="15">
      <c r="E2647" s="9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/>
      <c r="AD2647" s="5"/>
    </row>
    <row r="2648" spans="5:30" ht="15">
      <c r="E2648" s="9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/>
      <c r="AD2648" s="5"/>
    </row>
    <row r="2649" spans="5:30" ht="15">
      <c r="E2649" s="9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</row>
    <row r="2650" spans="5:30" ht="15">
      <c r="E2650" s="9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</row>
    <row r="2651" spans="5:30" ht="15">
      <c r="E2651" s="9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/>
      <c r="AD2651" s="5"/>
    </row>
    <row r="2652" spans="5:30" ht="15">
      <c r="E2652" s="9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/>
      <c r="AD2652" s="5"/>
    </row>
    <row r="2653" spans="5:30" ht="15">
      <c r="E2653" s="9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/>
      <c r="AD2653" s="5"/>
    </row>
    <row r="2654" spans="5:30" ht="15">
      <c r="E2654" s="9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/>
      <c r="AD2654" s="5"/>
    </row>
    <row r="2655" spans="5:30" ht="15">
      <c r="E2655" s="9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/>
      <c r="AD2655" s="5"/>
    </row>
    <row r="2656" spans="5:30" ht="15">
      <c r="E2656" s="9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/>
      <c r="AD2656" s="5"/>
    </row>
    <row r="2657" spans="5:30" ht="15">
      <c r="E2657" s="9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/>
      <c r="AD2657" s="5"/>
    </row>
    <row r="2658" spans="5:30" ht="15">
      <c r="E2658" s="9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/>
      <c r="AD2658" s="5"/>
    </row>
    <row r="2659" spans="5:30" ht="15">
      <c r="E2659" s="9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</row>
    <row r="2660" spans="5:30" ht="15">
      <c r="E2660" s="9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/>
      <c r="AD2660" s="5"/>
    </row>
    <row r="2661" spans="5:30" ht="15">
      <c r="E2661" s="9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/>
      <c r="AD2661" s="5"/>
    </row>
    <row r="2662" spans="5:30" ht="15">
      <c r="E2662" s="9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/>
      <c r="AD2662" s="5"/>
    </row>
    <row r="2663" spans="5:30" ht="15">
      <c r="E2663" s="9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/>
      <c r="AD2663" s="5"/>
    </row>
    <row r="2664" spans="5:30" ht="15">
      <c r="E2664" s="9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/>
      <c r="AD2664" s="5"/>
    </row>
    <row r="2665" spans="5:30" ht="15">
      <c r="E2665" s="9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</row>
    <row r="2666" spans="5:30" ht="15">
      <c r="E2666" s="9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/>
      <c r="AD2666" s="5"/>
    </row>
    <row r="2667" spans="5:30" ht="15">
      <c r="E2667" s="9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/>
      <c r="AD2667" s="5"/>
    </row>
    <row r="2668" spans="5:30" ht="15">
      <c r="E2668" s="9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</row>
    <row r="2669" spans="5:30" ht="15">
      <c r="E2669" s="9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</row>
    <row r="2670" spans="5:30" ht="15">
      <c r="E2670" s="9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</row>
    <row r="2671" spans="5:30" ht="15">
      <c r="E2671" s="9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</row>
    <row r="2672" spans="5:30" ht="15">
      <c r="E2672" s="9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</row>
    <row r="2673" spans="5:30" ht="15">
      <c r="E2673" s="9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</row>
    <row r="2674" spans="5:30" ht="15">
      <c r="E2674" s="9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</row>
    <row r="2675" spans="5:30" ht="15">
      <c r="E2675" s="9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</row>
    <row r="2676" spans="5:30" ht="15">
      <c r="E2676" s="9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</row>
    <row r="2677" spans="5:30" ht="15">
      <c r="E2677" s="9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</row>
    <row r="2678" spans="5:30" ht="15">
      <c r="E2678" s="9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</row>
    <row r="2679" spans="5:30" ht="15">
      <c r="E2679" s="9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</row>
    <row r="2680" spans="5:30" ht="15">
      <c r="E2680" s="9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</row>
    <row r="2681" spans="5:30" ht="15">
      <c r="E2681" s="9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</row>
    <row r="2682" spans="5:30" ht="15">
      <c r="E2682" s="9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</row>
    <row r="2683" spans="5:30" ht="15">
      <c r="E2683" s="9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</row>
    <row r="2684" spans="5:30" ht="15">
      <c r="E2684" s="9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</row>
    <row r="2685" spans="5:30" ht="15">
      <c r="E2685" s="9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</row>
    <row r="2686" spans="5:30" ht="15">
      <c r="E2686" s="9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</row>
    <row r="2687" spans="5:30" ht="15">
      <c r="E2687" s="9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</row>
    <row r="2688" spans="5:30" ht="15">
      <c r="E2688" s="9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</row>
    <row r="2689" spans="5:30" ht="15">
      <c r="E2689" s="9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</row>
    <row r="2690" spans="5:30" ht="15">
      <c r="E2690" s="9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</row>
    <row r="2691" spans="5:30" ht="15">
      <c r="E2691" s="9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</row>
    <row r="2692" spans="5:30" ht="15">
      <c r="E2692" s="9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</row>
    <row r="2693" spans="5:30" ht="15">
      <c r="E2693" s="9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</row>
    <row r="2694" spans="5:30" ht="15">
      <c r="E2694" s="9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</row>
    <row r="2695" spans="5:30" ht="15">
      <c r="E2695" s="9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</row>
    <row r="2696" spans="5:30" ht="15">
      <c r="E2696" s="9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</row>
    <row r="2697" spans="5:30" ht="15">
      <c r="E2697" s="9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</row>
    <row r="2698" spans="5:30" ht="15">
      <c r="E2698" s="9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</row>
    <row r="2699" spans="5:30" ht="15">
      <c r="E2699" s="9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</row>
    <row r="2700" spans="5:30" ht="15">
      <c r="E2700" s="9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</row>
    <row r="2701" spans="5:30" ht="15">
      <c r="E2701" s="9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</row>
    <row r="2702" spans="5:30" ht="15">
      <c r="E2702" s="9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</row>
    <row r="2703" spans="5:30" ht="15">
      <c r="E2703" s="9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</row>
    <row r="2704" spans="5:30" ht="15">
      <c r="E2704" s="9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</row>
    <row r="2705" spans="5:30" ht="15">
      <c r="E2705" s="9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</row>
    <row r="2706" spans="5:30" ht="15">
      <c r="E2706" s="9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</row>
    <row r="2707" spans="5:30" ht="15">
      <c r="E2707" s="9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</row>
    <row r="2708" spans="5:30" ht="15">
      <c r="E2708" s="9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</row>
    <row r="2709" spans="5:30" ht="15">
      <c r="E2709" s="9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</row>
    <row r="2710" spans="5:30" ht="15">
      <c r="E2710" s="9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</row>
    <row r="2711" spans="5:30" ht="15">
      <c r="E2711" s="9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</row>
    <row r="2712" spans="5:30" ht="15">
      <c r="E2712" s="9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</row>
    <row r="2713" spans="5:30" ht="15">
      <c r="E2713" s="9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</row>
    <row r="2714" spans="5:30" ht="15">
      <c r="E2714" s="9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</row>
    <row r="2715" spans="5:30" ht="15">
      <c r="E2715" s="9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</row>
    <row r="2716" spans="5:30" ht="15">
      <c r="E2716" s="9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</row>
    <row r="2717" spans="5:30" ht="15">
      <c r="E2717" s="9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</row>
    <row r="2718" spans="5:30" ht="15">
      <c r="E2718" s="9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</row>
    <row r="2719" spans="5:30" ht="15">
      <c r="E2719" s="9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</row>
    <row r="2720" spans="5:30" ht="15">
      <c r="E2720" s="9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</row>
    <row r="2721" spans="5:30" ht="15">
      <c r="E2721" s="9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</row>
    <row r="2722" spans="5:30" ht="15">
      <c r="E2722" s="9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</row>
    <row r="2723" spans="5:30" ht="15">
      <c r="E2723" s="9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</row>
    <row r="2724" spans="5:30" ht="15">
      <c r="E2724" s="9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</row>
    <row r="2725" spans="5:30" ht="15">
      <c r="E2725" s="9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</row>
    <row r="2726" spans="5:30" ht="15">
      <c r="E2726" s="9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</row>
    <row r="2727" spans="5:30" ht="15">
      <c r="E2727" s="9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</row>
    <row r="2728" spans="5:30" ht="15">
      <c r="E2728" s="9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</row>
    <row r="2729" spans="5:30" ht="15">
      <c r="E2729" s="9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</row>
    <row r="2730" spans="5:30" ht="15">
      <c r="E2730" s="9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</row>
    <row r="2731" spans="5:30" ht="15">
      <c r="E2731" s="9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</row>
    <row r="2732" spans="5:30" ht="15">
      <c r="E2732" s="9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</row>
    <row r="2733" spans="5:30" ht="15">
      <c r="E2733" s="9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</row>
    <row r="2734" spans="5:30" ht="15">
      <c r="E2734" s="9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</row>
    <row r="2735" spans="5:30" ht="15">
      <c r="E2735" s="9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</row>
    <row r="2736" spans="5:30" ht="15">
      <c r="E2736" s="9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</row>
    <row r="2737" spans="5:30" ht="15">
      <c r="E2737" s="9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</row>
    <row r="2738" spans="5:30" ht="15">
      <c r="E2738" s="9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</row>
    <row r="2739" spans="5:30" ht="15">
      <c r="E2739" s="9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</row>
    <row r="2740" spans="5:30" ht="15">
      <c r="E2740" s="9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</row>
    <row r="2741" spans="5:30" ht="15">
      <c r="E2741" s="9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</row>
    <row r="2742" spans="5:30" ht="15">
      <c r="E2742" s="9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</row>
    <row r="2743" spans="5:30" ht="15">
      <c r="E2743" s="9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</row>
    <row r="2744" spans="5:30" ht="15">
      <c r="E2744" s="9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</row>
    <row r="2745" spans="5:30" ht="15">
      <c r="E2745" s="9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</row>
    <row r="2746" spans="5:30" ht="15">
      <c r="E2746" s="9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</row>
    <row r="2747" spans="5:30" ht="15">
      <c r="E2747" s="9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</row>
    <row r="2748" spans="5:30" ht="15">
      <c r="E2748" s="9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</row>
    <row r="2749" spans="5:30" ht="15">
      <c r="E2749" s="9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</row>
    <row r="2750" spans="5:30" ht="15">
      <c r="E2750" s="9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</row>
    <row r="2751" spans="5:30" ht="15">
      <c r="E2751" s="9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</row>
    <row r="2752" spans="5:30" ht="15">
      <c r="E2752" s="9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</row>
    <row r="2753" spans="5:30" ht="15">
      <c r="E2753" s="9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</row>
    <row r="2754" spans="5:30" ht="15">
      <c r="E2754" s="9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</row>
    <row r="2755" spans="5:30" ht="15">
      <c r="E2755" s="9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</row>
    <row r="2756" spans="5:30" ht="15">
      <c r="E2756" s="9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</row>
    <row r="2757" spans="5:30" ht="15">
      <c r="E2757" s="9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</row>
    <row r="2758" spans="5:30" ht="15">
      <c r="E2758" s="9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</row>
    <row r="2759" spans="5:30" ht="15">
      <c r="E2759" s="9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</row>
    <row r="2760" spans="5:30" ht="15">
      <c r="E2760" s="9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</row>
    <row r="2761" spans="5:30" ht="15">
      <c r="E2761" s="9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</row>
    <row r="2762" spans="5:30" ht="15">
      <c r="E2762" s="9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</row>
    <row r="2763" spans="5:30" ht="15">
      <c r="E2763" s="9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</row>
    <row r="2764" spans="5:30" ht="15">
      <c r="E2764" s="9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</row>
    <row r="2765" spans="5:30" ht="15">
      <c r="E2765" s="9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</row>
    <row r="2766" spans="5:30" ht="15">
      <c r="E2766" s="9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</row>
    <row r="2767" spans="5:30" ht="15">
      <c r="E2767" s="9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</row>
    <row r="2768" spans="5:30" ht="15">
      <c r="E2768" s="9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</row>
    <row r="2769" spans="5:30" ht="15">
      <c r="E2769" s="9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</row>
    <row r="2770" spans="5:30" ht="15">
      <c r="E2770" s="9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</row>
    <row r="2771" spans="5:30" ht="15">
      <c r="E2771" s="9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</row>
    <row r="2772" spans="5:30" ht="15">
      <c r="E2772" s="9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</row>
    <row r="2773" spans="5:30" ht="15">
      <c r="E2773" s="9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</row>
    <row r="2774" spans="5:30" ht="15">
      <c r="E2774" s="9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</row>
    <row r="2775" spans="5:30" ht="15">
      <c r="E2775" s="9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</row>
    <row r="2776" spans="5:30" ht="15">
      <c r="E2776" s="9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</row>
    <row r="2777" spans="5:30" ht="15">
      <c r="E2777" s="9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</row>
    <row r="2778" spans="5:30" ht="15">
      <c r="E2778" s="9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</row>
    <row r="2779" spans="5:30" ht="15">
      <c r="E2779" s="9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</row>
    <row r="2780" spans="5:30" ht="15">
      <c r="E2780" s="9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</row>
    <row r="2781" spans="5:30" ht="15">
      <c r="E2781" s="9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</row>
    <row r="2782" spans="5:30" ht="15">
      <c r="E2782" s="9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</row>
    <row r="2783" spans="5:30" ht="15">
      <c r="E2783" s="9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</row>
    <row r="2784" spans="5:30" ht="15">
      <c r="E2784" s="9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</row>
    <row r="2785" spans="5:30" ht="15">
      <c r="E2785" s="9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</row>
    <row r="2786" spans="5:30" ht="15">
      <c r="E2786" s="9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</row>
    <row r="2787" spans="5:30" ht="15">
      <c r="E2787" s="9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</row>
    <row r="2788" spans="5:30" ht="15">
      <c r="E2788" s="9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</row>
    <row r="2789" spans="5:30" ht="15">
      <c r="E2789" s="9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</row>
    <row r="2790" spans="5:30" ht="15">
      <c r="E2790" s="9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</row>
    <row r="2791" spans="5:30" ht="15">
      <c r="E2791" s="9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</row>
    <row r="2792" spans="5:30" ht="15">
      <c r="E2792" s="9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</row>
    <row r="2793" spans="5:30" ht="15">
      <c r="E2793" s="9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</row>
    <row r="2794" spans="5:30" ht="15">
      <c r="E2794" s="9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</row>
    <row r="2795" spans="5:30" ht="15">
      <c r="E2795" s="9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</row>
    <row r="2796" spans="5:30" ht="15">
      <c r="E2796" s="9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</row>
    <row r="2797" spans="5:30" ht="15">
      <c r="E2797" s="9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</row>
    <row r="2798" spans="5:30" ht="15">
      <c r="E2798" s="9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</row>
    <row r="2799" spans="5:30" ht="15">
      <c r="E2799" s="9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</row>
    <row r="2800" spans="5:30" ht="15">
      <c r="E2800" s="9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</row>
    <row r="2801" spans="5:30" ht="15">
      <c r="E2801" s="9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</row>
    <row r="2802" spans="5:30" ht="15">
      <c r="E2802" s="9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</row>
    <row r="2803" spans="5:30" ht="15">
      <c r="E2803" s="9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</row>
    <row r="2804" spans="5:30" ht="15">
      <c r="E2804" s="9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</row>
    <row r="2805" spans="5:30" ht="15">
      <c r="E2805" s="9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</row>
    <row r="2806" spans="5:30" ht="15">
      <c r="E2806" s="9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</row>
    <row r="2807" spans="5:30" ht="15">
      <c r="E2807" s="9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</row>
    <row r="2808" spans="5:30" ht="15">
      <c r="E2808" s="9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</row>
    <row r="2809" spans="5:30" ht="15">
      <c r="E2809" s="9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</row>
    <row r="2810" spans="5:30" ht="15">
      <c r="E2810" s="9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</row>
    <row r="2811" spans="5:30" ht="15">
      <c r="E2811" s="9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</row>
    <row r="2812" spans="5:30" ht="15">
      <c r="E2812" s="9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</row>
    <row r="2813" spans="5:30" ht="15">
      <c r="E2813" s="9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</row>
    <row r="2814" spans="5:30" ht="15">
      <c r="E2814" s="9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</row>
    <row r="2815" spans="5:30" ht="15">
      <c r="E2815" s="9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</row>
    <row r="2816" spans="5:30" ht="15">
      <c r="E2816" s="9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</row>
    <row r="2817" spans="5:30" ht="15">
      <c r="E2817" s="9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</row>
    <row r="2818" spans="5:30" ht="15">
      <c r="E2818" s="9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</row>
    <row r="2819" spans="5:30" ht="15">
      <c r="E2819" s="9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</row>
    <row r="2820" spans="5:30" ht="15">
      <c r="E2820" s="9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</row>
    <row r="2821" spans="5:30" ht="15">
      <c r="E2821" s="9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</row>
    <row r="2822" spans="5:30" ht="15">
      <c r="E2822" s="9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</row>
    <row r="2823" spans="5:30" ht="15">
      <c r="E2823" s="9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</row>
    <row r="2824" spans="5:30" ht="15">
      <c r="E2824" s="9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</row>
    <row r="2825" spans="5:30" ht="15">
      <c r="E2825" s="9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</row>
    <row r="2826" spans="5:30" ht="15">
      <c r="E2826" s="9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</row>
    <row r="2827" spans="5:30" ht="15">
      <c r="E2827" s="9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</row>
    <row r="2828" spans="5:30" ht="15">
      <c r="E2828" s="9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</row>
    <row r="2829" spans="5:30" ht="15">
      <c r="E2829" s="9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</row>
    <row r="2830" spans="5:30" ht="15">
      <c r="E2830" s="9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</row>
    <row r="2831" spans="5:30" ht="15">
      <c r="E2831" s="9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</row>
    <row r="2832" spans="5:30" ht="15">
      <c r="E2832" s="9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</row>
    <row r="2833" spans="5:30" ht="15">
      <c r="E2833" s="9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</row>
    <row r="2834" spans="5:30" ht="15">
      <c r="E2834" s="9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</row>
    <row r="2835" spans="5:30" ht="15">
      <c r="E2835" s="9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</row>
    <row r="2836" spans="5:30" ht="15">
      <c r="E2836" s="9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</row>
    <row r="2837" spans="5:30" ht="15">
      <c r="E2837" s="9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</row>
    <row r="2838" spans="5:30" ht="15">
      <c r="E2838" s="9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</row>
    <row r="2839" spans="5:30" ht="15">
      <c r="E2839" s="9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</row>
    <row r="2840" spans="5:30" ht="15">
      <c r="E2840" s="9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</row>
    <row r="2841" spans="5:30" ht="15">
      <c r="E2841" s="9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</row>
    <row r="2842" spans="5:30" ht="15">
      <c r="E2842" s="9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</row>
    <row r="2843" spans="5:30" ht="15">
      <c r="E2843" s="9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</row>
    <row r="2844" spans="5:30" ht="15">
      <c r="E2844" s="9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</row>
    <row r="2845" spans="5:30" ht="15">
      <c r="E2845" s="9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</row>
    <row r="2846" spans="5:30" ht="15">
      <c r="E2846" s="9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</row>
    <row r="2847" spans="5:30" ht="15">
      <c r="E2847" s="9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</row>
    <row r="2848" spans="5:30" ht="15">
      <c r="E2848" s="9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</row>
    <row r="2849" spans="5:30" ht="15">
      <c r="E2849" s="9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</row>
    <row r="2850" spans="5:30" ht="15">
      <c r="E2850" s="9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</row>
    <row r="2851" spans="5:30" ht="15">
      <c r="E2851" s="9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</row>
    <row r="2852" spans="5:30" ht="15">
      <c r="E2852" s="9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</row>
    <row r="2853" spans="5:30" ht="15">
      <c r="E2853" s="9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</row>
    <row r="2854" spans="5:30" ht="15">
      <c r="E2854" s="9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</row>
    <row r="2855" spans="5:30" ht="15">
      <c r="E2855" s="9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</row>
    <row r="2856" spans="5:30" ht="15">
      <c r="E2856" s="9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</row>
    <row r="2857" spans="5:30" ht="15">
      <c r="E2857" s="9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</row>
    <row r="2858" spans="5:30" ht="15">
      <c r="E2858" s="9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</row>
    <row r="2859" spans="5:30" ht="15">
      <c r="E2859" s="9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</row>
    <row r="2860" spans="5:30" ht="15">
      <c r="E2860" s="9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</row>
    <row r="2861" spans="5:30" ht="15">
      <c r="E2861" s="9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</row>
    <row r="2862" spans="5:30" ht="15">
      <c r="E2862" s="9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</row>
    <row r="2863" spans="5:30" ht="15">
      <c r="E2863" s="9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</row>
    <row r="2864" spans="5:30" ht="15">
      <c r="E2864" s="9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</row>
    <row r="2865" spans="5:30" ht="15">
      <c r="E2865" s="9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</row>
    <row r="2866" spans="5:30" ht="15">
      <c r="E2866" s="9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</row>
    <row r="2867" spans="5:30" ht="15">
      <c r="E2867" s="9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</row>
    <row r="2868" spans="5:30" ht="15">
      <c r="E2868" s="9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</row>
    <row r="2869" spans="5:30" ht="15">
      <c r="E2869" s="9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</row>
    <row r="2870" spans="5:30" ht="15">
      <c r="E2870" s="9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</row>
    <row r="2871" spans="5:30" ht="15">
      <c r="E2871" s="9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</row>
    <row r="2872" spans="5:30" ht="15">
      <c r="E2872" s="9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</row>
    <row r="2873" spans="5:30" ht="15">
      <c r="E2873" s="9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</row>
    <row r="2874" spans="5:30" ht="15">
      <c r="E2874" s="9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</row>
    <row r="2875" spans="5:30" ht="15">
      <c r="E2875" s="9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</row>
    <row r="2876" spans="5:30" ht="15">
      <c r="E2876" s="9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</row>
    <row r="2877" spans="5:30" ht="15">
      <c r="E2877" s="9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</row>
    <row r="2878" spans="5:30" ht="15">
      <c r="E2878" s="9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</row>
    <row r="2879" spans="5:30" ht="15">
      <c r="E2879" s="9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</row>
    <row r="2880" spans="5:30" ht="15">
      <c r="E2880" s="9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</row>
    <row r="2881" spans="5:30" ht="15">
      <c r="E2881" s="9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</row>
    <row r="2882" spans="5:30" ht="15">
      <c r="E2882" s="9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</row>
    <row r="2883" spans="5:30" ht="15">
      <c r="E2883" s="9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</row>
    <row r="2884" spans="5:30" ht="15">
      <c r="E2884" s="9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</row>
    <row r="2885" spans="5:30" ht="15">
      <c r="E2885" s="9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</row>
    <row r="2886" spans="5:30" ht="15">
      <c r="E2886" s="9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</row>
    <row r="2887" spans="5:30" ht="15">
      <c r="E2887" s="9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</row>
    <row r="2888" spans="5:30" ht="15">
      <c r="E2888" s="9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</row>
    <row r="2889" spans="5:30" ht="15">
      <c r="E2889" s="9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</row>
    <row r="2890" spans="5:30" ht="15">
      <c r="E2890" s="9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</row>
    <row r="2891" spans="5:30" ht="15">
      <c r="E2891" s="9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</row>
    <row r="2892" spans="5:30" ht="15">
      <c r="E2892" s="9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</row>
    <row r="2893" spans="5:30" ht="15">
      <c r="E2893" s="9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</row>
    <row r="2894" spans="5:30" ht="15">
      <c r="E2894" s="9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</row>
    <row r="2895" spans="5:30" ht="15">
      <c r="E2895" s="9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</row>
    <row r="2896" spans="5:30" ht="15">
      <c r="E2896" s="9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</row>
    <row r="2897" spans="5:30" ht="15">
      <c r="E2897" s="9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</row>
    <row r="2898" spans="5:30" ht="15">
      <c r="E2898" s="9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</row>
    <row r="2899" spans="5:30" ht="15">
      <c r="E2899" s="9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</row>
    <row r="2900" spans="5:30" ht="15">
      <c r="E2900" s="9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</row>
    <row r="2901" spans="5:30" ht="15">
      <c r="E2901" s="9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</row>
    <row r="2902" spans="5:30" ht="15">
      <c r="E2902" s="9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</row>
    <row r="2903" spans="5:30" ht="15">
      <c r="E2903" s="9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</row>
    <row r="2904" spans="5:30" ht="15">
      <c r="E2904" s="9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</row>
    <row r="2905" spans="5:30" ht="15">
      <c r="E2905" s="9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</row>
    <row r="2906" spans="5:30" ht="15">
      <c r="E2906" s="9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</row>
    <row r="2907" spans="5:30" ht="15">
      <c r="E2907" s="9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</row>
    <row r="2908" spans="5:30" ht="15">
      <c r="E2908" s="9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</row>
    <row r="2909" spans="5:30" ht="15">
      <c r="E2909" s="9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</row>
    <row r="2910" spans="5:30" ht="15">
      <c r="E2910" s="9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</row>
    <row r="2911" spans="5:30" ht="15">
      <c r="E2911" s="9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</row>
    <row r="2912" spans="5:30" ht="15">
      <c r="E2912" s="9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</row>
    <row r="2913" spans="5:30" ht="15">
      <c r="E2913" s="9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</row>
    <row r="2914" spans="5:30" ht="15">
      <c r="E2914" s="9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</row>
    <row r="2915" spans="5:30" ht="15">
      <c r="E2915" s="9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</row>
    <row r="2916" spans="5:30" ht="15">
      <c r="E2916" s="9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</row>
    <row r="2917" spans="5:30" ht="15">
      <c r="E2917" s="9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</row>
    <row r="2918" spans="5:30" ht="15">
      <c r="E2918" s="9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</row>
    <row r="2919" spans="5:30" ht="15">
      <c r="E2919" s="9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</row>
    <row r="2920" spans="5:30" ht="15">
      <c r="E2920" s="9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</row>
    <row r="2921" spans="5:30" ht="15">
      <c r="E2921" s="9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</row>
    <row r="2922" spans="5:30" ht="15">
      <c r="E2922" s="9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</row>
    <row r="2923" spans="5:30" ht="15">
      <c r="E2923" s="9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</row>
    <row r="2924" spans="5:30" ht="15">
      <c r="E2924" s="9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</row>
    <row r="2925" spans="5:30" ht="15">
      <c r="E2925" s="9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</row>
    <row r="2926" spans="5:30" ht="15">
      <c r="E2926" s="9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</row>
    <row r="2927" spans="5:30" ht="15">
      <c r="E2927" s="9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</row>
    <row r="2928" spans="5:30" ht="15">
      <c r="E2928" s="9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</row>
    <row r="2929" spans="5:30" ht="15">
      <c r="E2929" s="9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</row>
    <row r="2930" spans="5:30" ht="15">
      <c r="E2930" s="9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</row>
    <row r="2931" spans="5:30" ht="15">
      <c r="E2931" s="9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</row>
    <row r="2932" spans="5:30" ht="15">
      <c r="E2932" s="9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</row>
    <row r="2933" spans="5:30" ht="15">
      <c r="E2933" s="9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</row>
    <row r="2934" spans="5:30" ht="15">
      <c r="E2934" s="9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</row>
    <row r="2935" spans="5:30" ht="15">
      <c r="E2935" s="9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</row>
    <row r="2936" spans="5:30" ht="15">
      <c r="E2936" s="9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</row>
    <row r="2937" spans="5:30" ht="15">
      <c r="E2937" s="9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</row>
    <row r="2938" spans="5:30" ht="15">
      <c r="E2938" s="9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</row>
    <row r="2939" spans="5:30" ht="15">
      <c r="E2939" s="9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</row>
    <row r="2940" spans="5:30" ht="15">
      <c r="E2940" s="9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</row>
    <row r="2941" spans="5:30" ht="15">
      <c r="E2941" s="9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</row>
    <row r="2942" spans="5:30" ht="15">
      <c r="E2942" s="9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</row>
    <row r="2943" spans="5:30" ht="15">
      <c r="E2943" s="9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</row>
    <row r="2944" spans="5:30" ht="15">
      <c r="E2944" s="9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</row>
    <row r="2945" spans="5:30" ht="15">
      <c r="E2945" s="9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</row>
    <row r="2946" spans="5:30" ht="15">
      <c r="E2946" s="9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</row>
    <row r="2947" spans="5:30" ht="15">
      <c r="E2947" s="9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</row>
    <row r="2948" spans="5:30" ht="15">
      <c r="E2948" s="9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</row>
    <row r="2949" spans="5:30" ht="15">
      <c r="E2949" s="9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</row>
    <row r="2950" spans="5:30" ht="15">
      <c r="E2950" s="9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</row>
    <row r="2951" spans="5:30" ht="15">
      <c r="E2951" s="9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</row>
    <row r="2952" spans="5:30" ht="15">
      <c r="E2952" s="9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</row>
    <row r="2953" spans="5:30" ht="15">
      <c r="E2953" s="9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</row>
    <row r="2954" spans="5:30" ht="15">
      <c r="E2954" s="9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</row>
    <row r="2955" spans="5:30" ht="15">
      <c r="E2955" s="9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</row>
    <row r="2956" spans="5:30" ht="15">
      <c r="E2956" s="9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</row>
    <row r="2957" spans="5:30" ht="15">
      <c r="E2957" s="9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</row>
    <row r="2958" spans="5:30" ht="15">
      <c r="E2958" s="9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</row>
    <row r="2959" spans="5:30" ht="15">
      <c r="E2959" s="9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</row>
    <row r="2960" spans="5:30" ht="15">
      <c r="E2960" s="9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</row>
    <row r="2961" spans="5:30" ht="15">
      <c r="E2961" s="9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</row>
    <row r="2962" spans="5:30" ht="15">
      <c r="E2962" s="9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</row>
    <row r="2963" spans="5:30" ht="15">
      <c r="E2963" s="9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</row>
    <row r="2964" spans="5:30" ht="15">
      <c r="E2964" s="9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</row>
    <row r="2965" spans="5:30" ht="15">
      <c r="E2965" s="9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</row>
    <row r="2966" spans="5:30" ht="15">
      <c r="E2966" s="9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</row>
    <row r="2967" spans="5:30" ht="15">
      <c r="E2967" s="9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</row>
    <row r="2968" spans="5:30" ht="15">
      <c r="E2968" s="9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</row>
    <row r="2969" spans="5:30" ht="15">
      <c r="E2969" s="9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</row>
    <row r="2970" spans="5:30" ht="15">
      <c r="E2970" s="9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</row>
    <row r="2971" spans="5:30" ht="15">
      <c r="E2971" s="9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</row>
    <row r="2972" spans="5:30" ht="15">
      <c r="E2972" s="9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</row>
    <row r="2973" spans="5:30" ht="15">
      <c r="E2973" s="9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</row>
    <row r="2974" spans="5:30" ht="15">
      <c r="E2974" s="9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</row>
    <row r="2975" spans="5:30" ht="15">
      <c r="E2975" s="9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</row>
    <row r="2976" spans="5:30" ht="15">
      <c r="E2976" s="9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</row>
    <row r="2977" spans="5:30" ht="15">
      <c r="E2977" s="9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</row>
    <row r="2978" spans="5:30" ht="15">
      <c r="E2978" s="9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</row>
    <row r="2979" spans="5:30" ht="15">
      <c r="E2979" s="9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</row>
    <row r="2980" spans="5:30" ht="15">
      <c r="E2980" s="9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</row>
    <row r="2981" spans="5:30" ht="15">
      <c r="E2981" s="9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</row>
    <row r="2982" spans="5:30" ht="15">
      <c r="E2982" s="9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</row>
    <row r="2983" spans="5:30" ht="15">
      <c r="E2983" s="9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</row>
    <row r="2984" spans="5:30" ht="15">
      <c r="E2984" s="9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</row>
    <row r="2985" spans="5:30" ht="15">
      <c r="E2985" s="9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</row>
    <row r="2986" spans="5:30" ht="15">
      <c r="E2986" s="9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</row>
    <row r="2987" spans="5:30" ht="15">
      <c r="E2987" s="9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</row>
    <row r="2988" spans="5:30" ht="15">
      <c r="E2988" s="9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</row>
    <row r="2989" spans="5:30" ht="15">
      <c r="E2989" s="9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</row>
    <row r="2990" spans="5:30" ht="15">
      <c r="E2990" s="9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</row>
    <row r="2991" spans="5:30" ht="15">
      <c r="E2991" s="9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</row>
    <row r="2992" spans="5:30" ht="15">
      <c r="E2992" s="9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</row>
    <row r="2993" spans="5:30" ht="15">
      <c r="E2993" s="9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</row>
    <row r="2994" spans="5:30" ht="15">
      <c r="E2994" s="9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</row>
    <row r="2995" spans="5:30" ht="15">
      <c r="E2995" s="9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</row>
    <row r="2996" spans="5:30" ht="15">
      <c r="E2996" s="9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</row>
    <row r="2997" spans="5:30" ht="15">
      <c r="E2997" s="9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</row>
    <row r="2998" spans="5:30" ht="15">
      <c r="E2998" s="9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</row>
    <row r="2999" spans="5:30" ht="15">
      <c r="E2999" s="9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</row>
    <row r="3000" spans="5:30" ht="15">
      <c r="E3000" s="9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</row>
    <row r="3001" spans="5:30" ht="15">
      <c r="E3001" s="9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</row>
    <row r="3002" spans="5:30" ht="15">
      <c r="E3002" s="9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</row>
    <row r="3003" spans="5:30" ht="15">
      <c r="E3003" s="9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</row>
    <row r="3004" spans="5:30" ht="15">
      <c r="E3004" s="9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</row>
    <row r="3005" spans="5:30" ht="15">
      <c r="E3005" s="9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</row>
    <row r="3006" spans="5:30" ht="15">
      <c r="E3006" s="9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</row>
    <row r="3007" spans="5:30" ht="15">
      <c r="E3007" s="9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</row>
    <row r="3008" spans="5:30" ht="15">
      <c r="E3008" s="9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</row>
    <row r="3009" spans="5:30" ht="15">
      <c r="E3009" s="9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</row>
    <row r="3010" spans="5:30" ht="15">
      <c r="E3010" s="9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</row>
    <row r="3011" spans="5:30" ht="15">
      <c r="E3011" s="9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</row>
    <row r="3012" spans="5:30" ht="15">
      <c r="E3012" s="9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</row>
    <row r="3013" spans="5:30" ht="15">
      <c r="E3013" s="9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</row>
    <row r="3014" spans="5:30" ht="15">
      <c r="E3014" s="9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</row>
    <row r="3015" spans="5:30" ht="15">
      <c r="E3015" s="9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</row>
    <row r="3016" spans="5:30" ht="15">
      <c r="E3016" s="9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</row>
    <row r="3017" spans="5:30" ht="15">
      <c r="E3017" s="9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</row>
    <row r="3018" spans="5:30" ht="15">
      <c r="E3018" s="9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</row>
    <row r="3019" spans="5:30" ht="15">
      <c r="E3019" s="9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</row>
    <row r="3020" spans="5:30" ht="15">
      <c r="E3020" s="9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</row>
    <row r="3021" spans="5:30" ht="15">
      <c r="E3021" s="9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</row>
    <row r="3022" spans="5:30" ht="15">
      <c r="E3022" s="9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</row>
    <row r="3023" spans="5:30" ht="15">
      <c r="E3023" s="9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</row>
    <row r="3024" spans="5:30" ht="15">
      <c r="E3024" s="9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</row>
    <row r="3025" spans="5:30" ht="15">
      <c r="E3025" s="9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</row>
    <row r="3026" spans="5:30" ht="15">
      <c r="E3026" s="9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</row>
    <row r="3027" spans="5:30" ht="15">
      <c r="E3027" s="9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</row>
    <row r="3028" spans="5:30" ht="15">
      <c r="E3028" s="9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</row>
    <row r="3029" spans="5:30" ht="15">
      <c r="E3029" s="9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</row>
    <row r="3030" spans="5:30" ht="15">
      <c r="E3030" s="9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</row>
    <row r="3031" spans="5:30" ht="15">
      <c r="E3031" s="9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</row>
    <row r="3032" spans="5:30" ht="15">
      <c r="E3032" s="9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</row>
    <row r="3033" spans="5:30" ht="15">
      <c r="E3033" s="9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</row>
    <row r="3034" spans="5:30" ht="15">
      <c r="E3034" s="9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</row>
    <row r="3035" spans="5:30" ht="15">
      <c r="E3035" s="9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</row>
    <row r="3036" spans="5:30" ht="15">
      <c r="E3036" s="9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</row>
    <row r="3037" spans="5:30" ht="15">
      <c r="E3037" s="9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</row>
    <row r="3038" spans="5:30" ht="15">
      <c r="E3038" s="9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</row>
    <row r="3039" spans="5:30" ht="15">
      <c r="E3039" s="9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</row>
    <row r="3040" spans="5:30" ht="15">
      <c r="E3040" s="9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</row>
    <row r="3041" spans="5:30" ht="15">
      <c r="E3041" s="9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</row>
    <row r="3042" spans="5:30" ht="15">
      <c r="E3042" s="9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</row>
    <row r="3043" spans="5:30" ht="15">
      <c r="E3043" s="9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</row>
    <row r="3044" spans="5:30" ht="15">
      <c r="E3044" s="9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</row>
    <row r="3045" spans="5:30" ht="15">
      <c r="E3045" s="9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</row>
    <row r="3046" spans="5:30" ht="15">
      <c r="E3046" s="9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</row>
    <row r="3047" spans="5:30" ht="15">
      <c r="E3047" s="9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</row>
    <row r="3048" spans="5:30" ht="15">
      <c r="E3048" s="9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</row>
    <row r="3049" spans="5:30" ht="15">
      <c r="E3049" s="9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</row>
    <row r="3050" spans="5:30" ht="15">
      <c r="E3050" s="9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</row>
    <row r="3051" spans="5:30" ht="15">
      <c r="E3051" s="9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</row>
    <row r="3052" spans="5:30" ht="15">
      <c r="E3052" s="9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</row>
    <row r="3053" spans="5:30" ht="15">
      <c r="E3053" s="9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</row>
    <row r="3054" spans="5:30" ht="15">
      <c r="E3054" s="9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</row>
    <row r="3055" spans="5:30" ht="15">
      <c r="E3055" s="9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</row>
    <row r="3056" spans="5:30" ht="15">
      <c r="E3056" s="9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</row>
    <row r="3057" spans="5:30" ht="15">
      <c r="E3057" s="9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</row>
    <row r="3058" spans="5:30" ht="15">
      <c r="E3058" s="9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</row>
    <row r="3059" spans="5:30" ht="15">
      <c r="E3059" s="9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</row>
    <row r="3060" spans="5:30" ht="15">
      <c r="E3060" s="9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</row>
    <row r="3061" spans="5:30" ht="15">
      <c r="E3061" s="9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</row>
    <row r="3062" spans="5:30" ht="15">
      <c r="E3062" s="9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</row>
    <row r="3063" spans="5:30" ht="15">
      <c r="E3063" s="9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</row>
    <row r="3064" spans="5:30" ht="15">
      <c r="E3064" s="9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</row>
    <row r="3065" spans="5:30" ht="15">
      <c r="E3065" s="9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</row>
    <row r="3066" spans="5:30" ht="15">
      <c r="E3066" s="9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</row>
    <row r="3067" spans="5:30" ht="15">
      <c r="E3067" s="9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</row>
    <row r="3068" spans="5:30" ht="15">
      <c r="E3068" s="9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</row>
    <row r="3069" spans="5:30" ht="15">
      <c r="E3069" s="9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</row>
    <row r="3070" spans="5:30" ht="15">
      <c r="E3070" s="9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</row>
    <row r="3071" spans="5:30" ht="15">
      <c r="E3071" s="9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</row>
    <row r="3072" spans="5:30" ht="15">
      <c r="E3072" s="9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</row>
    <row r="3073" spans="5:30" ht="15">
      <c r="E3073" s="9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</row>
    <row r="3074" spans="5:30" ht="15">
      <c r="E3074" s="9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</row>
    <row r="3075" spans="5:30" ht="15">
      <c r="E3075" s="9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</row>
    <row r="3076" spans="5:30" ht="15">
      <c r="E3076" s="9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</row>
    <row r="3077" spans="5:30" ht="15">
      <c r="E3077" s="9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</row>
    <row r="3078" spans="5:30" ht="15">
      <c r="E3078" s="9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</row>
    <row r="3079" spans="5:30" ht="15">
      <c r="E3079" s="9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</row>
    <row r="3080" spans="5:30" ht="15">
      <c r="E3080" s="9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</row>
    <row r="3081" spans="5:30" ht="15">
      <c r="E3081" s="9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</row>
    <row r="3082" spans="5:30" ht="15">
      <c r="E3082" s="9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</row>
    <row r="3083" spans="5:30" ht="15">
      <c r="E3083" s="9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</row>
    <row r="3084" spans="5:30" ht="15">
      <c r="E3084" s="9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</row>
    <row r="3085" spans="5:30" ht="15">
      <c r="E3085" s="9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</row>
    <row r="3086" spans="5:30" ht="15">
      <c r="E3086" s="9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</row>
    <row r="3087" spans="5:30" ht="15">
      <c r="E3087" s="9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</row>
    <row r="3088" spans="5:30" ht="15">
      <c r="E3088" s="9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</row>
    <row r="3089" spans="5:30" ht="15">
      <c r="E3089" s="9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</row>
    <row r="3090" spans="5:30" ht="15">
      <c r="E3090" s="9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</row>
    <row r="3091" spans="5:30" ht="15">
      <c r="E3091" s="9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</row>
    <row r="3092" spans="5:30" ht="15">
      <c r="E3092" s="9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</row>
    <row r="3093" spans="5:30" ht="15">
      <c r="E3093" s="9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</row>
    <row r="3094" spans="5:30" ht="15">
      <c r="E3094" s="9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</row>
    <row r="3095" spans="5:30" ht="15">
      <c r="E3095" s="9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</row>
    <row r="3096" spans="5:30" ht="15">
      <c r="E3096" s="9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</row>
    <row r="3097" spans="5:30" ht="15">
      <c r="E3097" s="9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</row>
    <row r="3098" spans="5:30" ht="15">
      <c r="E3098" s="9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</row>
    <row r="3099" spans="5:30" ht="15">
      <c r="E3099" s="9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</row>
    <row r="3100" spans="5:30" ht="15">
      <c r="E3100" s="9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</row>
    <row r="3101" spans="5:30" ht="15">
      <c r="E3101" s="9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</row>
    <row r="3102" spans="5:30" ht="15">
      <c r="E3102" s="9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</row>
    <row r="3103" spans="5:30" ht="15">
      <c r="E3103" s="9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</row>
    <row r="3104" spans="5:30" ht="15">
      <c r="E3104" s="9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</row>
    <row r="3105" spans="5:30" ht="15">
      <c r="E3105" s="9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</row>
    <row r="3106" spans="5:30" ht="15">
      <c r="E3106" s="9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</row>
    <row r="3107" spans="5:30" ht="15">
      <c r="E3107" s="9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</row>
    <row r="3108" spans="5:30" ht="15">
      <c r="E3108" s="9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</row>
    <row r="3109" spans="5:30" ht="15">
      <c r="E3109" s="9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</row>
    <row r="3110" spans="5:30" ht="15">
      <c r="E3110" s="9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</row>
    <row r="3111" spans="5:30" ht="15">
      <c r="E3111" s="9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</row>
    <row r="3112" spans="5:30" ht="15">
      <c r="E3112" s="9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</row>
    <row r="3113" spans="5:30" ht="15">
      <c r="E3113" s="9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</row>
    <row r="3114" spans="5:30" ht="15">
      <c r="E3114" s="9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</row>
    <row r="3115" spans="5:30" ht="15">
      <c r="E3115" s="9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</row>
    <row r="3116" spans="5:30" ht="15">
      <c r="E3116" s="9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</row>
    <row r="3117" spans="5:30" ht="15">
      <c r="E3117" s="9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</row>
    <row r="3118" spans="5:30" ht="15">
      <c r="E3118" s="9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</row>
    <row r="3119" spans="5:30" ht="15">
      <c r="E3119" s="9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</row>
    <row r="3120" spans="5:30" ht="15">
      <c r="E3120" s="9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</row>
    <row r="3121" spans="5:30" ht="15">
      <c r="E3121" s="9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</row>
    <row r="3122" spans="5:30" ht="15">
      <c r="E3122" s="9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</row>
    <row r="3123" spans="5:30" ht="15">
      <c r="E3123" s="9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</row>
    <row r="3124" spans="5:30" ht="15">
      <c r="E3124" s="9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</row>
    <row r="3125" spans="5:30" ht="15">
      <c r="E3125" s="9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</row>
    <row r="3126" spans="5:30" ht="15">
      <c r="E3126" s="9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</row>
    <row r="3127" spans="5:30" ht="15">
      <c r="E3127" s="9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</row>
    <row r="3128" spans="5:30" ht="15">
      <c r="E3128" s="9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</row>
    <row r="3129" spans="5:30" ht="15">
      <c r="E3129" s="9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</row>
    <row r="3130" spans="5:30" ht="15">
      <c r="E3130" s="9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</row>
    <row r="3131" spans="5:30" ht="15">
      <c r="E3131" s="9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</row>
    <row r="3132" spans="5:30" ht="15">
      <c r="E3132" s="9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</row>
    <row r="3133" spans="5:30" ht="15">
      <c r="E3133" s="9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</row>
    <row r="3134" spans="5:30" ht="15">
      <c r="E3134" s="9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</row>
    <row r="3135" spans="5:30" ht="15">
      <c r="E3135" s="9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</row>
    <row r="3136" spans="5:30" ht="15">
      <c r="E3136" s="9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</row>
    <row r="3137" spans="5:30" ht="15">
      <c r="E3137" s="9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</row>
    <row r="3138" spans="5:30" ht="15">
      <c r="E3138" s="9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</row>
    <row r="3139" spans="5:30" ht="15">
      <c r="E3139" s="9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</row>
    <row r="3140" spans="5:30" ht="15">
      <c r="E3140" s="9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</row>
    <row r="3141" spans="5:30" ht="15">
      <c r="E3141" s="9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</row>
    <row r="3142" spans="5:30" ht="15">
      <c r="E3142" s="9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</row>
    <row r="3143" spans="5:30" ht="15">
      <c r="E3143" s="9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</row>
    <row r="3144" spans="5:30" ht="15">
      <c r="E3144" s="9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</row>
    <row r="3145" spans="5:30" ht="15">
      <c r="E3145" s="9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</row>
    <row r="3146" spans="5:30" ht="15">
      <c r="E3146" s="9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</row>
    <row r="3147" spans="5:30" ht="15">
      <c r="E3147" s="9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</row>
    <row r="3148" spans="5:30" ht="15">
      <c r="E3148" s="9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</row>
    <row r="3149" spans="5:30" ht="15">
      <c r="E3149" s="9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</row>
    <row r="3150" spans="5:30" ht="15">
      <c r="E3150" s="9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</row>
    <row r="3151" spans="5:30" ht="15">
      <c r="E3151" s="9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</row>
    <row r="3152" spans="5:30" ht="15">
      <c r="E3152" s="9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</row>
    <row r="3153" spans="5:30" ht="15">
      <c r="E3153" s="9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</row>
    <row r="3154" spans="5:30" ht="15">
      <c r="E3154" s="9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</row>
    <row r="3155" spans="5:30" ht="15">
      <c r="E3155" s="9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</row>
    <row r="3156" spans="5:30" ht="15">
      <c r="E3156" s="9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</row>
    <row r="3157" spans="5:30" ht="15">
      <c r="E3157" s="9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</row>
    <row r="3158" spans="5:30" ht="15">
      <c r="E3158" s="9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</row>
    <row r="3159" spans="5:30" ht="15">
      <c r="E3159" s="9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</row>
    <row r="3160" spans="5:30" ht="15">
      <c r="E3160" s="9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</row>
    <row r="3161" spans="5:30" ht="15">
      <c r="E3161" s="9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</row>
    <row r="3162" spans="5:30" ht="15">
      <c r="E3162" s="9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</row>
    <row r="3163" spans="5:30" ht="15">
      <c r="E3163" s="9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</row>
    <row r="3164" spans="5:30" ht="15">
      <c r="E3164" s="9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</row>
    <row r="3165" spans="5:30" ht="15">
      <c r="E3165" s="9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</row>
    <row r="3166" spans="5:30" ht="15">
      <c r="E3166" s="9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</row>
    <row r="3167" spans="5:30" ht="15">
      <c r="E3167" s="9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</row>
    <row r="3168" spans="5:30" ht="15">
      <c r="E3168" s="9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</row>
    <row r="3169" spans="5:30" ht="15">
      <c r="E3169" s="9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</row>
    <row r="3170" spans="5:30" ht="15">
      <c r="E3170" s="9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</row>
    <row r="3171" spans="5:30" ht="15">
      <c r="E3171" s="9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</row>
    <row r="3172" spans="5:30" ht="15">
      <c r="E3172" s="9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</row>
    <row r="3173" spans="5:30" ht="15">
      <c r="E3173" s="9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</row>
    <row r="3174" spans="5:30" ht="15">
      <c r="E3174" s="9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</row>
    <row r="3175" spans="5:30" ht="15">
      <c r="E3175" s="9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</row>
    <row r="3176" spans="5:30" ht="15">
      <c r="E3176" s="9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</row>
    <row r="3177" spans="5:30" ht="15">
      <c r="E3177" s="9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</row>
    <row r="3178" spans="5:30" ht="15">
      <c r="E3178" s="9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</row>
    <row r="3179" spans="5:30" ht="15">
      <c r="E3179" s="9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</row>
    <row r="3180" spans="5:30" ht="15">
      <c r="E3180" s="9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</row>
    <row r="3181" spans="5:30" ht="15">
      <c r="E3181" s="9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</row>
    <row r="3182" spans="5:30" ht="15">
      <c r="E3182" s="9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</row>
    <row r="3183" spans="5:30" ht="15">
      <c r="E3183" s="9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</row>
    <row r="3184" spans="5:30" ht="15">
      <c r="E3184" s="9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</row>
    <row r="3185" spans="5:30" ht="15">
      <c r="E3185" s="9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</row>
    <row r="3186" spans="5:30" ht="15">
      <c r="E3186" s="9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</row>
    <row r="3187" spans="5:30" ht="15">
      <c r="E3187" s="9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</row>
    <row r="3188" spans="5:30" ht="15">
      <c r="E3188" s="9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</row>
    <row r="3189" spans="5:30" ht="15">
      <c r="E3189" s="9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</row>
    <row r="3190" spans="5:30" ht="15">
      <c r="E3190" s="9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</row>
    <row r="3191" spans="5:30" ht="15">
      <c r="E3191" s="9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</row>
    <row r="3192" spans="5:30" ht="15">
      <c r="E3192" s="9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</row>
    <row r="3193" spans="5:30" ht="15">
      <c r="E3193" s="9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</row>
    <row r="3194" spans="5:30" ht="15">
      <c r="E3194" s="9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</row>
    <row r="3195" spans="5:30" ht="15">
      <c r="E3195" s="9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</row>
    <row r="3196" spans="5:30" ht="15">
      <c r="E3196" s="9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</row>
    <row r="3197" spans="5:30" ht="15">
      <c r="E3197" s="9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</row>
    <row r="3198" spans="5:30" ht="15">
      <c r="E3198" s="9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</row>
    <row r="3199" spans="5:30" ht="15">
      <c r="E3199" s="9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</row>
    <row r="3200" spans="5:30" ht="15">
      <c r="E3200" s="9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</row>
    <row r="3201" spans="5:30" ht="15">
      <c r="E3201" s="9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</row>
    <row r="3202" spans="5:30" ht="15">
      <c r="E3202" s="9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</row>
    <row r="3203" spans="5:30" ht="15">
      <c r="E3203" s="9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</row>
    <row r="3204" spans="5:30" ht="15">
      <c r="E3204" s="9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</row>
    <row r="3205" spans="5:30" ht="15">
      <c r="E3205" s="9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</row>
    <row r="3206" spans="5:30" ht="15">
      <c r="E3206" s="9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</row>
    <row r="3207" spans="5:30" ht="15">
      <c r="E3207" s="9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</row>
    <row r="3208" spans="5:30" ht="15">
      <c r="E3208" s="9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</row>
    <row r="3209" spans="5:30" ht="15">
      <c r="E3209" s="9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</row>
    <row r="3210" spans="5:30" ht="15">
      <c r="E3210" s="9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</row>
    <row r="3211" spans="5:30" ht="15">
      <c r="E3211" s="9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</row>
    <row r="3212" spans="5:30" ht="15">
      <c r="E3212" s="9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</row>
    <row r="3213" spans="5:30" ht="15">
      <c r="E3213" s="9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</row>
    <row r="3214" spans="5:30" ht="15">
      <c r="E3214" s="9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</row>
    <row r="3215" spans="5:30" ht="15">
      <c r="E3215" s="9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</row>
    <row r="3216" spans="5:30" ht="15">
      <c r="E3216" s="9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</row>
    <row r="3217" spans="5:30" ht="15">
      <c r="E3217" s="9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</row>
    <row r="3218" spans="5:30" ht="15">
      <c r="E3218" s="9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</row>
    <row r="3219" spans="5:30" ht="15">
      <c r="E3219" s="9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</row>
    <row r="3220" spans="5:30" ht="15">
      <c r="E3220" s="9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</row>
    <row r="3221" spans="5:30" ht="15">
      <c r="E3221" s="9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</row>
    <row r="3222" spans="5:30" ht="15">
      <c r="E3222" s="9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</row>
    <row r="3223" spans="5:30" ht="15">
      <c r="E3223" s="9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</row>
    <row r="3224" spans="5:30" ht="15">
      <c r="E3224" s="9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</row>
    <row r="3225" spans="5:30" ht="15">
      <c r="E3225" s="9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</row>
    <row r="3226" spans="5:30" ht="15">
      <c r="E3226" s="9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</row>
    <row r="3227" spans="5:30" ht="15">
      <c r="E3227" s="9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</row>
    <row r="3228" spans="5:30" ht="15">
      <c r="E3228" s="9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</row>
    <row r="3229" spans="5:30" ht="15">
      <c r="E3229" s="9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</row>
    <row r="3230" spans="5:30" ht="15">
      <c r="E3230" s="9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</row>
    <row r="3231" spans="5:30" ht="15">
      <c r="E3231" s="9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</row>
    <row r="3232" spans="5:30" ht="15">
      <c r="E3232" s="9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</row>
    <row r="3233" spans="5:30" ht="15">
      <c r="E3233" s="9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</row>
    <row r="3234" spans="5:30" ht="15">
      <c r="E3234" s="9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</row>
    <row r="3235" spans="5:30" ht="15">
      <c r="E3235" s="9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</row>
    <row r="3236" spans="5:30" ht="15">
      <c r="E3236" s="9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</row>
    <row r="3237" spans="5:30" ht="15">
      <c r="E3237" s="9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</row>
    <row r="3238" spans="5:30" ht="15">
      <c r="E3238" s="9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</row>
    <row r="3239" spans="5:30" ht="15">
      <c r="E3239" s="9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</row>
    <row r="3240" spans="5:30" ht="15">
      <c r="E3240" s="9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</row>
    <row r="3241" spans="5:30" ht="15">
      <c r="E3241" s="9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</row>
    <row r="3242" spans="5:30" ht="15">
      <c r="E3242" s="9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</row>
    <row r="3243" spans="5:30" ht="15">
      <c r="E3243" s="9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</row>
    <row r="3244" spans="5:30" ht="15">
      <c r="E3244" s="9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</row>
    <row r="3245" spans="5:30" ht="15">
      <c r="E3245" s="9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</row>
    <row r="3246" spans="5:30" ht="15">
      <c r="E3246" s="9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</row>
    <row r="3247" spans="5:30" ht="15">
      <c r="E3247" s="9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</row>
    <row r="3248" spans="5:30" ht="15">
      <c r="E3248" s="9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</row>
    <row r="3249" spans="5:30" ht="15">
      <c r="E3249" s="9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</row>
    <row r="3250" spans="5:30" ht="15">
      <c r="E3250" s="9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</row>
    <row r="3251" spans="5:30" ht="15">
      <c r="E3251" s="9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</row>
    <row r="3252" spans="5:30" ht="15">
      <c r="E3252" s="9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</row>
    <row r="3253" spans="5:30" ht="15">
      <c r="E3253" s="9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</row>
    <row r="3254" spans="5:30" ht="15">
      <c r="E3254" s="9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</row>
    <row r="3255" spans="5:30" ht="15">
      <c r="E3255" s="9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</row>
    <row r="3256" spans="5:30" ht="15">
      <c r="E3256" s="9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</row>
    <row r="3257" spans="5:30" ht="15">
      <c r="E3257" s="9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</row>
    <row r="3258" spans="5:30" ht="15">
      <c r="E3258" s="9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</row>
    <row r="3259" spans="5:30" ht="15">
      <c r="E3259" s="9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</row>
    <row r="3260" spans="5:30" ht="15">
      <c r="E3260" s="9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</row>
    <row r="3261" spans="5:30" ht="15">
      <c r="E3261" s="9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</row>
    <row r="3262" spans="5:30" ht="15">
      <c r="E3262" s="9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</row>
    <row r="3263" spans="5:30" ht="15">
      <c r="E3263" s="9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</row>
    <row r="3264" spans="5:30" ht="15">
      <c r="E3264" s="9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</row>
    <row r="3265" spans="5:30" ht="15">
      <c r="E3265" s="9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</row>
    <row r="3266" spans="5:30" ht="15">
      <c r="E3266" s="9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</row>
    <row r="3267" spans="5:30" ht="15">
      <c r="E3267" s="9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</row>
    <row r="3268" spans="5:30" ht="15">
      <c r="E3268" s="9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</row>
    <row r="3269" spans="5:30" ht="15">
      <c r="E3269" s="9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</row>
    <row r="3270" spans="5:30" ht="15">
      <c r="E3270" s="9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</row>
    <row r="3271" spans="5:30" ht="15">
      <c r="E3271" s="9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</row>
    <row r="3272" spans="5:30" ht="15">
      <c r="E3272" s="9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</row>
    <row r="3273" spans="5:30" ht="15">
      <c r="E3273" s="9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</row>
    <row r="3274" spans="5:30" ht="15">
      <c r="E3274" s="9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</row>
    <row r="3275" spans="5:30" ht="15">
      <c r="E3275" s="9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</row>
    <row r="3276" spans="5:30" ht="15">
      <c r="E3276" s="9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</row>
    <row r="3277" spans="5:30" ht="15">
      <c r="E3277" s="9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</row>
    <row r="3278" spans="5:30" ht="15">
      <c r="E3278" s="9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</row>
    <row r="3279" spans="5:30" ht="15">
      <c r="E3279" s="9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</row>
    <row r="3280" spans="5:30" ht="15">
      <c r="E3280" s="9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</row>
    <row r="3281" spans="5:30" ht="15">
      <c r="E3281" s="9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</row>
    <row r="3282" spans="5:30" ht="15">
      <c r="E3282" s="9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</row>
    <row r="3283" spans="5:30" ht="15">
      <c r="E3283" s="9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</row>
    <row r="3284" spans="5:30" ht="15">
      <c r="E3284" s="9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</row>
    <row r="3285" spans="5:30" ht="15">
      <c r="E3285" s="9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</row>
    <row r="3286" spans="5:30" ht="15">
      <c r="E3286" s="9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</row>
    <row r="3287" spans="5:30" ht="15">
      <c r="E3287" s="9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</row>
    <row r="3288" spans="5:30" ht="15">
      <c r="E3288" s="9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</row>
    <row r="3289" spans="5:30" ht="15">
      <c r="E3289" s="9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</row>
    <row r="3290" spans="5:30" ht="15">
      <c r="E3290" s="9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</row>
    <row r="3291" spans="5:30" ht="15">
      <c r="E3291" s="9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</row>
    <row r="3292" spans="5:30" ht="15">
      <c r="E3292" s="9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</row>
    <row r="3293" spans="5:30" ht="15">
      <c r="E3293" s="9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</row>
    <row r="3294" spans="5:30" ht="15">
      <c r="E3294" s="9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</row>
    <row r="3295" spans="5:30" ht="15">
      <c r="E3295" s="9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</row>
    <row r="3296" spans="5:30" ht="15">
      <c r="E3296" s="9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</row>
    <row r="3297" spans="5:30" ht="15">
      <c r="E3297" s="9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</row>
    <row r="3298" spans="5:30" ht="15">
      <c r="E3298" s="9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</row>
    <row r="3299" spans="5:30" ht="15">
      <c r="E3299" s="9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</row>
    <row r="3300" spans="5:30" ht="15">
      <c r="E3300" s="9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</row>
    <row r="3301" spans="5:30" ht="15">
      <c r="E3301" s="9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</row>
    <row r="3302" spans="5:30" ht="15">
      <c r="E3302" s="9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</row>
    <row r="3303" spans="5:30" ht="15">
      <c r="E3303" s="9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</row>
    <row r="3304" spans="5:30" ht="15">
      <c r="E3304" s="9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</row>
    <row r="3305" spans="5:30" ht="15">
      <c r="E3305" s="9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</row>
    <row r="3306" spans="5:30" ht="15">
      <c r="E3306" s="9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</row>
    <row r="3307" spans="5:30" ht="15">
      <c r="E3307" s="9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</row>
    <row r="3308" spans="5:30" ht="15">
      <c r="E3308" s="9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</row>
    <row r="3309" spans="5:30" ht="15">
      <c r="E3309" s="9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</row>
    <row r="3310" spans="5:30" ht="15">
      <c r="E3310" s="9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</row>
    <row r="3311" spans="5:30" ht="15">
      <c r="E3311" s="9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</row>
    <row r="3312" spans="5:30" ht="15">
      <c r="E3312" s="9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</row>
    <row r="3313" spans="5:30" ht="15">
      <c r="E3313" s="9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</row>
    <row r="3314" spans="5:30" ht="15">
      <c r="E3314" s="9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</row>
    <row r="3315" spans="5:30" ht="15">
      <c r="E3315" s="9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</row>
    <row r="3316" spans="5:30" ht="15">
      <c r="E3316" s="9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</row>
    <row r="3317" spans="5:30" ht="15">
      <c r="E3317" s="9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</row>
    <row r="3318" spans="5:30" ht="15">
      <c r="E3318" s="9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</row>
    <row r="3319" spans="5:30" ht="15">
      <c r="E3319" s="9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</row>
    <row r="3320" spans="5:30" ht="15">
      <c r="E3320" s="9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</row>
    <row r="3321" spans="5:30" ht="15">
      <c r="E3321" s="9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</row>
    <row r="3322" spans="5:30" ht="15">
      <c r="E3322" s="9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</row>
    <row r="3323" spans="5:30" ht="15">
      <c r="E3323" s="9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</row>
    <row r="3324" spans="5:30" ht="15">
      <c r="E3324" s="9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</row>
    <row r="3325" spans="5:30" ht="15">
      <c r="E3325" s="9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</row>
    <row r="3326" spans="5:30" ht="15">
      <c r="E3326" s="9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</row>
    <row r="3327" spans="5:30" ht="15">
      <c r="E3327" s="9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</row>
    <row r="3328" spans="5:30" ht="15">
      <c r="E3328" s="9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</row>
    <row r="3329" spans="5:30" ht="15">
      <c r="E3329" s="9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</row>
    <row r="3330" spans="5:30" ht="15">
      <c r="E3330" s="9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</row>
    <row r="3331" spans="5:30" ht="15">
      <c r="E3331" s="9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</row>
    <row r="3332" spans="5:30" ht="15">
      <c r="E3332" s="9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</row>
    <row r="3333" spans="5:30" ht="15">
      <c r="E3333" s="9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</row>
    <row r="3334" spans="5:30" ht="15">
      <c r="E3334" s="9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</row>
    <row r="3335" spans="5:30" ht="15">
      <c r="E3335" s="9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</row>
    <row r="3336" spans="5:30" ht="15">
      <c r="E3336" s="9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</row>
    <row r="3337" spans="5:30" ht="15">
      <c r="E3337" s="9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</row>
    <row r="3338" spans="5:30" ht="15">
      <c r="E3338" s="9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</row>
    <row r="3339" spans="5:30" ht="15">
      <c r="E3339" s="9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</row>
    <row r="3340" spans="5:30" ht="15">
      <c r="E3340" s="9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</row>
    <row r="3341" spans="5:30" ht="15">
      <c r="E3341" s="9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</row>
    <row r="3342" spans="5:30" ht="15">
      <c r="E3342" s="9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</row>
    <row r="3343" spans="5:30" ht="15">
      <c r="E3343" s="9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</row>
    <row r="3344" spans="5:30" ht="15">
      <c r="E3344" s="9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</row>
    <row r="3345" spans="5:30" ht="15">
      <c r="E3345" s="9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</row>
    <row r="3346" spans="5:30" ht="15">
      <c r="E3346" s="9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</row>
    <row r="3347" spans="5:30" ht="15">
      <c r="E3347" s="9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</row>
    <row r="3348" spans="5:30" ht="15">
      <c r="E3348" s="9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</row>
    <row r="3349" spans="5:30" ht="15">
      <c r="E3349" s="9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</row>
    <row r="3350" spans="5:30" ht="15">
      <c r="E3350" s="9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</row>
    <row r="3351" spans="5:30" ht="15">
      <c r="E3351" s="9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</row>
    <row r="3352" spans="5:30" ht="15">
      <c r="E3352" s="9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</row>
    <row r="3353" spans="5:30" ht="15">
      <c r="E3353" s="9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</row>
    <row r="3354" spans="5:30" ht="15">
      <c r="E3354" s="9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</row>
    <row r="3355" spans="5:30" ht="15">
      <c r="E3355" s="9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</row>
    <row r="3356" spans="5:30" ht="15">
      <c r="E3356" s="9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</row>
    <row r="3357" spans="5:30" ht="15">
      <c r="E3357" s="9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</row>
    <row r="3358" spans="5:30" ht="15">
      <c r="E3358" s="9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</row>
    <row r="3359" spans="5:30" ht="15">
      <c r="E3359" s="9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</row>
    <row r="3360" spans="5:30" ht="15">
      <c r="E3360" s="9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</row>
    <row r="3361" spans="5:30" ht="15">
      <c r="E3361" s="9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</row>
    <row r="3362" spans="5:30" ht="15">
      <c r="E3362" s="9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</row>
    <row r="3363" spans="5:30" ht="15">
      <c r="E3363" s="9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</row>
    <row r="3364" spans="5:30" ht="15">
      <c r="E3364" s="9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</row>
    <row r="3365" spans="5:30" ht="15">
      <c r="E3365" s="9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</row>
    <row r="3366" spans="5:30" ht="15">
      <c r="E3366" s="9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</row>
    <row r="3367" spans="5:30" ht="15">
      <c r="E3367" s="9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</row>
    <row r="3368" spans="5:30" ht="15">
      <c r="E3368" s="9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</row>
    <row r="3369" spans="5:30" ht="15">
      <c r="E3369" s="9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</row>
    <row r="3370" spans="5:30" ht="15">
      <c r="E3370" s="9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</row>
    <row r="3371" spans="5:30" ht="15">
      <c r="E3371" s="9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</row>
    <row r="3372" spans="5:30" ht="15">
      <c r="E3372" s="9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</row>
    <row r="3373" spans="5:30" ht="15">
      <c r="E3373" s="9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</row>
    <row r="3374" spans="5:30" ht="15">
      <c r="E3374" s="9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</row>
    <row r="3375" spans="5:30" ht="15">
      <c r="E3375" s="9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</row>
    <row r="3376" spans="5:30" ht="15">
      <c r="E3376" s="9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</row>
    <row r="3377" spans="5:30" ht="15">
      <c r="E3377" s="9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</row>
    <row r="3378" spans="5:30" ht="15">
      <c r="E3378" s="9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</row>
    <row r="3379" spans="5:30" ht="15">
      <c r="E3379" s="9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</row>
    <row r="3380" spans="5:30" ht="15">
      <c r="E3380" s="9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</row>
    <row r="3381" spans="5:30" ht="15">
      <c r="E3381" s="9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</row>
    <row r="3382" spans="5:30" ht="15">
      <c r="E3382" s="9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</row>
    <row r="3383" spans="5:30" ht="15">
      <c r="E3383" s="9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</row>
    <row r="3384" spans="5:30" ht="15">
      <c r="E3384" s="9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</row>
    <row r="3385" spans="5:30" ht="15">
      <c r="E3385" s="9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</row>
    <row r="3386" spans="5:30" ht="15">
      <c r="E3386" s="9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</row>
    <row r="3387" spans="5:30" ht="15">
      <c r="E3387" s="9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</row>
    <row r="3388" spans="5:30" ht="15">
      <c r="E3388" s="9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</row>
    <row r="3389" spans="5:30" ht="15">
      <c r="E3389" s="9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</row>
    <row r="3390" spans="5:30" ht="15">
      <c r="E3390" s="9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</row>
    <row r="3391" spans="5:30" ht="15">
      <c r="E3391" s="9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</row>
    <row r="3392" spans="5:30" ht="15">
      <c r="E3392" s="9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</row>
    <row r="3393" spans="5:30" ht="15">
      <c r="E3393" s="9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</row>
    <row r="3394" spans="5:30" ht="15">
      <c r="E3394" s="9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</row>
    <row r="3395" spans="5:30" ht="15">
      <c r="E3395" s="9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</row>
    <row r="3396" spans="5:30" ht="15">
      <c r="E3396" s="9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</row>
    <row r="3397" spans="5:30" ht="15">
      <c r="E3397" s="9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</row>
    <row r="3398" spans="5:30" ht="15">
      <c r="E3398" s="9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</row>
    <row r="3399" spans="5:30" ht="15">
      <c r="E3399" s="9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</row>
    <row r="3400" spans="5:30" ht="15">
      <c r="E3400" s="9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</row>
    <row r="3401" spans="5:30" ht="15">
      <c r="E3401" s="9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</row>
    <row r="3402" spans="5:30" ht="15">
      <c r="E3402" s="9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</row>
    <row r="3403" spans="5:30" ht="15">
      <c r="E3403" s="9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</row>
    <row r="3404" spans="5:30" ht="15">
      <c r="E3404" s="9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</row>
    <row r="3405" spans="5:30" ht="15">
      <c r="E3405" s="9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</row>
    <row r="3406" spans="5:30" ht="15">
      <c r="E3406" s="9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</row>
    <row r="3407" spans="5:30" ht="15">
      <c r="E3407" s="9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</row>
    <row r="3408" spans="5:30" ht="15">
      <c r="E3408" s="9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</row>
    <row r="3409" spans="5:30" ht="15">
      <c r="E3409" s="9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</row>
    <row r="3410" spans="5:30" ht="15">
      <c r="E3410" s="9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</row>
    <row r="3411" spans="5:30" ht="15">
      <c r="E3411" s="9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</row>
    <row r="3412" spans="5:30" ht="15">
      <c r="E3412" s="9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</row>
    <row r="3413" spans="5:30" ht="15">
      <c r="E3413" s="9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</row>
    <row r="3414" spans="5:30" ht="15">
      <c r="E3414" s="9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</row>
    <row r="3415" spans="5:30" ht="15">
      <c r="E3415" s="9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</row>
    <row r="3416" spans="5:30" ht="15">
      <c r="E3416" s="9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</row>
    <row r="3417" spans="5:30" ht="15">
      <c r="E3417" s="9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</row>
    <row r="3418" spans="5:30" ht="15">
      <c r="E3418" s="9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</row>
    <row r="3419" spans="5:30" ht="15">
      <c r="E3419" s="9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</row>
    <row r="3420" spans="5:30" ht="15">
      <c r="E3420" s="9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</row>
    <row r="3421" spans="5:30" ht="15">
      <c r="E3421" s="9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</row>
    <row r="3422" spans="5:30" ht="15">
      <c r="E3422" s="9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</row>
    <row r="3423" spans="5:30" ht="15">
      <c r="E3423" s="9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</row>
    <row r="3424" spans="5:30" ht="15">
      <c r="E3424" s="9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</row>
    <row r="3425" spans="5:30" ht="15">
      <c r="E3425" s="9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</row>
    <row r="3426" spans="5:30" ht="15">
      <c r="E3426" s="9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</row>
    <row r="3427" spans="5:30" ht="15">
      <c r="E3427" s="9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</row>
    <row r="3428" spans="5:30" ht="15">
      <c r="E3428" s="9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</row>
    <row r="3429" spans="5:30" ht="15">
      <c r="E3429" s="9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</row>
    <row r="3430" spans="5:30" ht="15">
      <c r="E3430" s="9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</row>
    <row r="3431" spans="5:30" ht="15">
      <c r="E3431" s="9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</row>
    <row r="3432" spans="5:30" ht="15">
      <c r="E3432" s="9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</row>
    <row r="3433" spans="5:30" ht="15">
      <c r="E3433" s="9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</row>
    <row r="3434" spans="5:30" ht="15">
      <c r="E3434" s="9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</row>
    <row r="3435" spans="5:30" ht="15">
      <c r="E3435" s="9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</row>
    <row r="3436" spans="5:30" ht="15">
      <c r="E3436" s="9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</row>
    <row r="3437" spans="5:30" ht="15">
      <c r="E3437" s="9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</row>
    <row r="3438" spans="5:30" ht="15">
      <c r="E3438" s="9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</row>
    <row r="3439" spans="5:30" ht="15">
      <c r="E3439" s="9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</row>
    <row r="3440" spans="5:30" ht="15">
      <c r="E3440" s="9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</row>
    <row r="3441" spans="5:30" ht="15">
      <c r="E3441" s="9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</row>
    <row r="3442" spans="5:30" ht="15">
      <c r="E3442" s="9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</row>
    <row r="3443" spans="5:30" ht="15">
      <c r="E3443" s="9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</row>
    <row r="3444" spans="5:30" ht="15">
      <c r="E3444" s="9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</row>
    <row r="3445" spans="5:30" ht="15">
      <c r="E3445" s="9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</row>
    <row r="3446" spans="5:30" ht="15">
      <c r="E3446" s="9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</row>
    <row r="3447" spans="5:30" ht="15">
      <c r="E3447" s="9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</row>
    <row r="3448" spans="5:30" ht="15">
      <c r="E3448" s="9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</row>
    <row r="3449" spans="5:30" ht="15">
      <c r="E3449" s="9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</row>
    <row r="3450" spans="5:30" ht="15">
      <c r="E3450" s="9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</row>
    <row r="3451" spans="5:30" ht="15">
      <c r="E3451" s="9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</row>
    <row r="3452" spans="5:30" ht="15">
      <c r="E3452" s="9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</row>
    <row r="3453" spans="5:30" ht="15">
      <c r="E3453" s="9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</row>
    <row r="3454" spans="5:30" ht="15">
      <c r="E3454" s="9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</row>
    <row r="3455" spans="5:30" ht="15">
      <c r="E3455" s="9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</row>
    <row r="3456" spans="5:30" ht="15">
      <c r="E3456" s="9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</row>
    <row r="3457" spans="5:30" ht="15">
      <c r="E3457" s="9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</row>
    <row r="3458" spans="5:30" ht="15">
      <c r="E3458" s="9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</row>
    <row r="3459" spans="5:30" ht="15">
      <c r="E3459" s="9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</row>
    <row r="3460" spans="5:30" ht="15">
      <c r="E3460" s="9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</row>
    <row r="3461" spans="5:30" ht="15">
      <c r="E3461" s="9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</row>
    <row r="3462" spans="5:30" ht="15">
      <c r="E3462" s="9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</row>
    <row r="3463" spans="5:30" ht="15">
      <c r="E3463" s="9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</row>
    <row r="3464" spans="5:30" ht="15">
      <c r="E3464" s="9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</row>
    <row r="3465" spans="5:30" ht="15">
      <c r="E3465" s="9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</row>
    <row r="3466" spans="5:30" ht="15">
      <c r="E3466" s="9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</row>
    <row r="3467" spans="5:30" ht="15">
      <c r="E3467" s="9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</row>
    <row r="3468" spans="5:30" ht="15">
      <c r="E3468" s="9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</row>
    <row r="3469" spans="5:30" ht="15">
      <c r="E3469" s="9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</row>
    <row r="3470" spans="5:30" ht="15">
      <c r="E3470" s="9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</row>
    <row r="3471" spans="5:30" ht="15">
      <c r="E3471" s="9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</row>
    <row r="3472" spans="5:30" ht="15">
      <c r="E3472" s="9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</row>
    <row r="3473" spans="5:30" ht="15">
      <c r="E3473" s="9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</row>
    <row r="3474" spans="5:30" ht="15">
      <c r="E3474" s="9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</row>
    <row r="3475" spans="5:30" ht="15">
      <c r="E3475" s="9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</row>
    <row r="3476" spans="5:30" ht="15">
      <c r="E3476" s="9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</row>
    <row r="3477" spans="5:30" ht="15">
      <c r="E3477" s="9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</row>
    <row r="3478" spans="5:30" ht="15">
      <c r="E3478" s="9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</row>
    <row r="3479" spans="5:30" ht="15">
      <c r="E3479" s="9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</row>
    <row r="3480" spans="5:30" ht="15">
      <c r="E3480" s="9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</row>
    <row r="3481" spans="5:30" ht="15">
      <c r="E3481" s="9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</row>
    <row r="3482" spans="5:30" ht="15">
      <c r="E3482" s="9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</row>
    <row r="3483" spans="5:30" ht="15">
      <c r="E3483" s="9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</row>
    <row r="3484" spans="5:30" ht="15">
      <c r="E3484" s="9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</row>
    <row r="3485" spans="5:30" ht="15">
      <c r="E3485" s="9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</row>
    <row r="3486" spans="5:30" ht="15">
      <c r="E3486" s="9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</row>
    <row r="3487" spans="5:30" ht="15">
      <c r="E3487" s="9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</row>
    <row r="3488" spans="5:30" ht="15">
      <c r="E3488" s="9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</row>
    <row r="3489" spans="5:30" ht="15">
      <c r="E3489" s="9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</row>
    <row r="3490" spans="5:30" ht="15">
      <c r="E3490" s="9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</row>
    <row r="3491" spans="5:30" ht="15">
      <c r="E3491" s="9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</row>
    <row r="3492" spans="5:30" ht="15">
      <c r="E3492" s="9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</row>
    <row r="3493" spans="5:30" ht="15">
      <c r="E3493" s="9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</row>
    <row r="3494" spans="5:30" ht="15">
      <c r="E3494" s="9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</row>
    <row r="3495" spans="5:30" ht="15">
      <c r="E3495" s="9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</row>
    <row r="3496" spans="5:30" ht="15">
      <c r="E3496" s="9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</row>
    <row r="3497" spans="5:30" ht="15">
      <c r="E3497" s="9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</row>
    <row r="3498" spans="5:30" ht="15">
      <c r="E3498" s="9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</row>
    <row r="3499" spans="5:30" ht="15">
      <c r="E3499" s="9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</row>
    <row r="3500" spans="5:30" ht="15">
      <c r="E3500" s="9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</row>
    <row r="3501" spans="5:30" ht="15">
      <c r="E3501" s="9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</row>
    <row r="3502" spans="5:30" ht="15">
      <c r="E3502" s="9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</row>
    <row r="3503" spans="5:30" ht="15">
      <c r="E3503" s="9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</row>
    <row r="3504" spans="5:30" ht="15">
      <c r="E3504" s="9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</row>
    <row r="3505" spans="5:30" ht="15">
      <c r="E3505" s="9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</row>
    <row r="3506" spans="5:30" ht="15">
      <c r="E3506" s="9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</row>
    <row r="3507" spans="5:30" ht="15">
      <c r="E3507" s="9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</row>
    <row r="3508" spans="5:30" ht="15">
      <c r="E3508" s="9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</row>
    <row r="3509" spans="5:30" ht="15">
      <c r="E3509" s="9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</row>
    <row r="3510" spans="5:30" ht="15">
      <c r="E3510" s="9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</row>
    <row r="3511" spans="5:30" ht="15">
      <c r="E3511" s="9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</row>
    <row r="3512" spans="5:30" ht="15">
      <c r="E3512" s="9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</row>
    <row r="3513" spans="5:30" ht="15">
      <c r="E3513" s="9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</row>
    <row r="3514" spans="5:30" ht="15">
      <c r="E3514" s="9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</row>
    <row r="3515" spans="5:30" ht="15">
      <c r="E3515" s="9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</row>
    <row r="3516" spans="5:30" ht="15">
      <c r="E3516" s="9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</row>
    <row r="3517" spans="5:30" ht="15">
      <c r="E3517" s="9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</row>
    <row r="3518" spans="5:30" ht="15">
      <c r="E3518" s="9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</row>
    <row r="3519" spans="5:30" ht="15">
      <c r="E3519" s="9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</row>
    <row r="3520" spans="5:30" ht="15">
      <c r="E3520" s="9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</row>
    <row r="3521" spans="5:30" ht="15">
      <c r="E3521" s="9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</row>
    <row r="3522" spans="5:30" ht="15">
      <c r="E3522" s="9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</row>
    <row r="3523" spans="5:30" ht="15">
      <c r="E3523" s="9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</row>
    <row r="3524" spans="5:30" ht="15">
      <c r="E3524" s="9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</row>
    <row r="3525" spans="5:30" ht="15">
      <c r="E3525" s="9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</row>
    <row r="3526" spans="5:30" ht="15">
      <c r="E3526" s="9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</row>
    <row r="3527" spans="5:30" ht="15">
      <c r="E3527" s="9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</row>
    <row r="3528" spans="5:30" ht="15">
      <c r="E3528" s="9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</row>
    <row r="3529" spans="5:30" ht="15">
      <c r="E3529" s="9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</row>
    <row r="3530" spans="5:30" ht="15">
      <c r="E3530" s="9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</row>
    <row r="3531" spans="5:30" ht="15">
      <c r="E3531" s="9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</row>
    <row r="3532" spans="5:30" ht="15">
      <c r="E3532" s="9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</row>
    <row r="3533" spans="5:30" ht="15">
      <c r="E3533" s="9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</row>
    <row r="3534" spans="5:30" ht="15">
      <c r="E3534" s="9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</row>
    <row r="3535" spans="5:30" ht="15">
      <c r="E3535" s="9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</row>
    <row r="3536" spans="5:30" ht="15">
      <c r="E3536" s="9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</row>
    <row r="3537" spans="5:30" ht="15">
      <c r="E3537" s="9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</row>
    <row r="3538" spans="5:30" ht="15">
      <c r="E3538" s="9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</row>
    <row r="3539" spans="5:30" ht="15">
      <c r="E3539" s="9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</row>
    <row r="3540" spans="5:30" ht="15">
      <c r="E3540" s="9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</row>
    <row r="3541" spans="5:30" ht="15">
      <c r="E3541" s="9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</row>
    <row r="3542" spans="5:30" ht="15">
      <c r="E3542" s="9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</row>
    <row r="3543" spans="5:30" ht="15">
      <c r="E3543" s="9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</row>
    <row r="3544" spans="5:30" ht="15">
      <c r="E3544" s="9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</row>
    <row r="3545" spans="5:30" ht="15">
      <c r="E3545" s="9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</row>
    <row r="3546" spans="5:30" ht="15">
      <c r="E3546" s="9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</row>
    <row r="3547" spans="5:30" ht="15">
      <c r="E3547" s="9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</row>
    <row r="3548" spans="5:30" ht="15">
      <c r="E3548" s="9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</row>
    <row r="3549" spans="5:30" ht="15">
      <c r="E3549" s="9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</row>
    <row r="3550" spans="5:30" ht="15">
      <c r="E3550" s="9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</row>
    <row r="3551" spans="5:30" ht="15">
      <c r="E3551" s="9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</row>
    <row r="3552" spans="5:30" ht="15">
      <c r="E3552" s="9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</row>
    <row r="3553" spans="5:30" ht="15">
      <c r="E3553" s="9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</row>
    <row r="3554" spans="5:30" ht="15">
      <c r="E3554" s="9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</row>
    <row r="3555" spans="5:30" ht="15">
      <c r="E3555" s="9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</row>
    <row r="3556" spans="5:30" ht="15">
      <c r="E3556" s="9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</row>
    <row r="3557" spans="5:30" ht="15">
      <c r="E3557" s="9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</row>
    <row r="3558" spans="5:30" ht="15">
      <c r="E3558" s="9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</row>
    <row r="3559" spans="5:30" ht="15">
      <c r="E3559" s="9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</row>
    <row r="3560" spans="5:30" ht="15">
      <c r="E3560" s="9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</row>
    <row r="3561" spans="5:30" ht="15">
      <c r="E3561" s="9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</row>
    <row r="3562" spans="5:30" ht="15">
      <c r="E3562" s="9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</row>
    <row r="3563" spans="5:30" ht="15">
      <c r="E3563" s="9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</row>
    <row r="3564" spans="5:30" ht="15">
      <c r="E3564" s="9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</row>
    <row r="3565" spans="5:30" ht="15">
      <c r="E3565" s="9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</row>
    <row r="3566" spans="5:30" ht="15">
      <c r="E3566" s="9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</row>
    <row r="3567" spans="5:30" ht="15">
      <c r="E3567" s="9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</row>
    <row r="3568" spans="5:30" ht="15">
      <c r="E3568" s="9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</row>
    <row r="3569" spans="5:30" ht="15">
      <c r="E3569" s="9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</row>
    <row r="3570" spans="5:30" ht="15">
      <c r="E3570" s="9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</row>
    <row r="3571" spans="5:30" ht="15">
      <c r="E3571" s="9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</row>
    <row r="3572" spans="5:30" ht="15">
      <c r="E3572" s="9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</row>
    <row r="3573" spans="5:30" ht="15">
      <c r="E3573" s="9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</row>
    <row r="3574" spans="5:30" ht="15">
      <c r="E3574" s="9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</row>
    <row r="3575" spans="5:30" ht="15">
      <c r="E3575" s="9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</row>
    <row r="3576" spans="5:30" ht="15">
      <c r="E3576" s="9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</row>
    <row r="3577" spans="5:30" ht="15">
      <c r="E3577" s="9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</row>
    <row r="3578" spans="5:30" ht="15">
      <c r="E3578" s="9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</row>
    <row r="3579" spans="5:30" ht="15">
      <c r="E3579" s="9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</row>
    <row r="3580" spans="5:30" ht="15">
      <c r="E3580" s="9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</row>
    <row r="3581" spans="5:30" ht="15">
      <c r="E3581" s="9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</row>
    <row r="3582" spans="5:30" ht="15">
      <c r="E3582" s="9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</row>
    <row r="3583" spans="5:30" ht="15">
      <c r="E3583" s="9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</row>
    <row r="3584" spans="5:30" ht="15">
      <c r="E3584" s="9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</row>
    <row r="3585" spans="5:30" ht="15">
      <c r="E3585" s="9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</row>
    <row r="3586" spans="5:30" ht="15">
      <c r="E3586" s="9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</row>
    <row r="3587" spans="5:30" ht="15">
      <c r="E3587" s="9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</row>
    <row r="3588" spans="5:30" ht="15">
      <c r="E3588" s="9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</row>
    <row r="3589" spans="5:30" ht="15">
      <c r="E3589" s="9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</row>
    <row r="3590" spans="5:30" ht="15">
      <c r="E3590" s="9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</row>
    <row r="3591" spans="5:30" ht="15">
      <c r="E3591" s="9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</row>
    <row r="3592" spans="5:30" ht="15">
      <c r="E3592" s="9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</row>
    <row r="3593" spans="5:30" ht="15">
      <c r="E3593" s="9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</row>
    <row r="3594" spans="5:30" ht="15">
      <c r="E3594" s="9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</row>
    <row r="3595" spans="5:30" ht="15">
      <c r="E3595" s="9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</row>
    <row r="3596" spans="5:30" ht="15">
      <c r="E3596" s="9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</row>
    <row r="3597" spans="5:30" ht="15">
      <c r="E3597" s="9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</row>
    <row r="3598" spans="5:30" ht="15">
      <c r="E3598" s="9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</row>
    <row r="3599" spans="5:30" ht="15">
      <c r="E3599" s="9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</row>
    <row r="3600" spans="5:30" ht="15">
      <c r="E3600" s="9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</row>
    <row r="3601" spans="5:30" ht="15">
      <c r="E3601" s="9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</row>
    <row r="3602" spans="5:30" ht="15">
      <c r="E3602" s="9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</row>
    <row r="3603" spans="5:30" ht="15">
      <c r="E3603" s="9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</row>
    <row r="3604" spans="5:30" ht="15">
      <c r="E3604" s="9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</row>
    <row r="3605" spans="5:30" ht="15">
      <c r="E3605" s="9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</row>
    <row r="3606" spans="5:30" ht="15">
      <c r="E3606" s="9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</row>
    <row r="3607" spans="5:30" ht="15">
      <c r="E3607" s="9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</row>
    <row r="3608" spans="5:30" ht="15">
      <c r="E3608" s="9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</row>
    <row r="3609" spans="5:30" ht="15">
      <c r="E3609" s="9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</row>
    <row r="3610" spans="5:30" ht="15">
      <c r="E3610" s="9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</row>
    <row r="3611" spans="5:30" ht="15">
      <c r="E3611" s="9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</row>
    <row r="3612" spans="5:30" ht="15">
      <c r="E3612" s="9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</row>
    <row r="3613" spans="5:30" ht="15">
      <c r="E3613" s="9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</row>
    <row r="3614" spans="5:30" ht="15">
      <c r="E3614" s="9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</row>
    <row r="3615" spans="5:30" ht="15">
      <c r="E3615" s="9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</row>
    <row r="3616" spans="5:30" ht="15">
      <c r="E3616" s="9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</row>
    <row r="3617" spans="5:30" ht="15">
      <c r="E3617" s="9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</row>
    <row r="3618" spans="5:30" ht="15">
      <c r="E3618" s="9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</row>
    <row r="3619" spans="5:30" ht="15">
      <c r="E3619" s="9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</row>
    <row r="3620" spans="5:30" ht="15">
      <c r="E3620" s="9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</row>
    <row r="3621" spans="5:30" ht="15">
      <c r="E3621" s="9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</row>
    <row r="3622" spans="5:30" ht="15">
      <c r="E3622" s="9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</row>
    <row r="3623" spans="5:30" ht="15">
      <c r="E3623" s="9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</row>
    <row r="3624" spans="5:30" ht="15">
      <c r="E3624" s="9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</row>
    <row r="3625" spans="5:30" ht="15">
      <c r="E3625" s="9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</row>
    <row r="3626" spans="5:30" ht="15">
      <c r="E3626" s="9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</row>
    <row r="3627" spans="5:30" ht="15">
      <c r="E3627" s="9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</row>
    <row r="3628" spans="5:30" ht="15">
      <c r="E3628" s="9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</row>
    <row r="3629" spans="5:30" ht="15">
      <c r="E3629" s="9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</row>
    <row r="3630" spans="5:30" ht="15">
      <c r="E3630" s="9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</row>
    <row r="3631" spans="5:30" ht="15">
      <c r="E3631" s="9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</row>
    <row r="3632" spans="5:30" ht="15">
      <c r="E3632" s="9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</row>
    <row r="3633" spans="5:30" ht="15">
      <c r="E3633" s="9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</row>
    <row r="3634" spans="5:30" ht="15">
      <c r="E3634" s="9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</row>
    <row r="3635" spans="5:30" ht="15">
      <c r="E3635" s="9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</row>
    <row r="3636" spans="5:30" ht="15">
      <c r="E3636" s="9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</row>
    <row r="3637" spans="5:30" ht="15">
      <c r="E3637" s="9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</row>
    <row r="3638" spans="5:30" ht="15">
      <c r="E3638" s="9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</row>
    <row r="3639" spans="5:30" ht="15">
      <c r="E3639" s="9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</row>
    <row r="3640" spans="5:30" ht="15">
      <c r="E3640" s="9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</row>
    <row r="3641" spans="5:30" ht="15">
      <c r="E3641" s="9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</row>
    <row r="3642" spans="5:30" ht="15">
      <c r="E3642" s="9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</row>
    <row r="3643" spans="5:30" ht="15">
      <c r="E3643" s="9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</row>
    <row r="3644" spans="5:30" ht="15">
      <c r="E3644" s="9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</row>
    <row r="3645" spans="5:30" ht="15">
      <c r="E3645" s="9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</row>
    <row r="3646" spans="5:30" ht="15">
      <c r="E3646" s="9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</row>
    <row r="3647" spans="5:30" ht="15">
      <c r="E3647" s="9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</row>
    <row r="3648" spans="5:30" ht="15">
      <c r="E3648" s="9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</row>
    <row r="3649" spans="5:30" ht="15">
      <c r="E3649" s="9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</row>
    <row r="3650" spans="5:30" ht="15">
      <c r="E3650" s="9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</row>
    <row r="3651" spans="5:30" ht="15">
      <c r="E3651" s="9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</row>
    <row r="3652" spans="5:30" ht="15">
      <c r="E3652" s="9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</row>
    <row r="3653" spans="5:30" ht="15">
      <c r="E3653" s="9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</row>
    <row r="3654" spans="5:30" ht="15">
      <c r="E3654" s="9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</row>
    <row r="3655" spans="5:30" ht="15">
      <c r="E3655" s="9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</row>
    <row r="3656" spans="5:30" ht="15">
      <c r="E3656" s="9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</row>
    <row r="3657" spans="5:30" ht="15">
      <c r="E3657" s="9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</row>
    <row r="3658" spans="5:30" ht="15">
      <c r="E3658" s="9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</row>
    <row r="3659" spans="5:30" ht="15">
      <c r="E3659" s="9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</row>
    <row r="3660" spans="5:30" ht="15">
      <c r="E3660" s="9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</row>
    <row r="3661" spans="5:30" ht="15">
      <c r="E3661" s="9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</row>
    <row r="3662" spans="5:30" ht="15">
      <c r="E3662" s="9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</row>
    <row r="3663" spans="5:30" ht="15">
      <c r="E3663" s="9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</row>
    <row r="3664" spans="5:30" ht="15">
      <c r="E3664" s="9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</row>
    <row r="3665" spans="5:30" ht="15">
      <c r="E3665" s="9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</row>
    <row r="3666" spans="5:30" ht="15">
      <c r="E3666" s="9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</row>
    <row r="3667" spans="5:30" ht="15">
      <c r="E3667" s="9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</row>
    <row r="3668" spans="5:30" ht="15">
      <c r="E3668" s="9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</row>
    <row r="3669" spans="5:30" ht="15">
      <c r="E3669" s="9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</row>
    <row r="3670" spans="5:30" ht="15">
      <c r="E3670" s="9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</row>
    <row r="3671" spans="5:30" ht="15">
      <c r="E3671" s="9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</row>
    <row r="3672" spans="5:30" ht="15">
      <c r="E3672" s="9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</row>
    <row r="3673" spans="5:30" ht="15">
      <c r="E3673" s="9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</row>
    <row r="3674" spans="5:30" ht="15">
      <c r="E3674" s="9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</row>
    <row r="3675" spans="5:30" ht="15">
      <c r="E3675" s="9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</row>
    <row r="3676" spans="5:30" ht="15">
      <c r="E3676" s="9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</row>
    <row r="3677" spans="5:30" ht="15">
      <c r="E3677" s="9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</row>
    <row r="3678" spans="5:30" ht="15">
      <c r="E3678" s="9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</row>
    <row r="3679" spans="5:30" ht="15">
      <c r="E3679" s="9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</row>
    <row r="3680" spans="5:30" ht="15">
      <c r="E3680" s="9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</row>
    <row r="3681" spans="5:30" ht="15">
      <c r="E3681" s="9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</row>
    <row r="3682" spans="5:30" ht="15">
      <c r="E3682" s="9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</row>
    <row r="3683" spans="5:30" ht="15">
      <c r="E3683" s="9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</row>
    <row r="3684" spans="5:30" ht="15">
      <c r="E3684" s="9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</row>
    <row r="3685" spans="5:30" ht="15">
      <c r="E3685" s="9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</row>
    <row r="3686" spans="5:30" ht="15">
      <c r="E3686" s="9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</row>
    <row r="3687" spans="5:30" ht="15">
      <c r="E3687" s="9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</row>
    <row r="3688" spans="5:30" ht="15">
      <c r="E3688" s="9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</row>
    <row r="3689" spans="5:30" ht="15">
      <c r="E3689" s="9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</row>
    <row r="3690" spans="5:30" ht="15">
      <c r="E3690" s="9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</row>
    <row r="3691" spans="5:30" ht="15">
      <c r="E3691" s="9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</row>
    <row r="3692" spans="5:30" ht="15">
      <c r="E3692" s="9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</row>
    <row r="3693" spans="5:30" ht="15">
      <c r="E3693" s="9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</row>
    <row r="3694" spans="5:30" ht="15">
      <c r="E3694" s="9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</row>
    <row r="3695" spans="5:30" ht="15">
      <c r="E3695" s="9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</row>
    <row r="3696" spans="5:30" ht="15">
      <c r="E3696" s="9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</row>
    <row r="3697" spans="5:30" ht="15">
      <c r="E3697" s="9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</row>
    <row r="3698" spans="5:30" ht="15">
      <c r="E3698" s="9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</row>
    <row r="3699" spans="5:30" ht="15">
      <c r="E3699" s="9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</row>
    <row r="3700" spans="5:30" ht="15">
      <c r="E3700" s="9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</row>
    <row r="3701" spans="5:30" ht="15">
      <c r="E3701" s="9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</row>
    <row r="3702" spans="5:30" ht="15">
      <c r="E3702" s="9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</row>
    <row r="3703" spans="5:30" ht="15">
      <c r="E3703" s="9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</row>
    <row r="3704" spans="5:30" ht="15">
      <c r="E3704" s="9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</row>
    <row r="3705" spans="5:30" ht="15">
      <c r="E3705" s="9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</row>
    <row r="3706" spans="5:30" ht="15">
      <c r="E3706" s="9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</row>
    <row r="3707" spans="5:30" ht="15">
      <c r="E3707" s="9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</row>
    <row r="3708" spans="5:30" ht="15">
      <c r="E3708" s="9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</row>
    <row r="3709" spans="5:30" ht="15">
      <c r="E3709" s="9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</row>
    <row r="3710" spans="5:30" ht="15">
      <c r="E3710" s="9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</row>
    <row r="3711" spans="5:30" ht="15">
      <c r="E3711" s="9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</row>
    <row r="3712" spans="5:30" ht="15">
      <c r="E3712" s="9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</row>
    <row r="3713" spans="5:30" ht="15">
      <c r="E3713" s="9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</row>
    <row r="3714" spans="5:30" ht="15">
      <c r="E3714" s="9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</row>
    <row r="3715" spans="5:30" ht="15">
      <c r="E3715" s="9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</row>
    <row r="3716" spans="5:30" ht="15">
      <c r="E3716" s="9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</row>
    <row r="3717" spans="5:30" ht="15">
      <c r="E3717" s="9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</row>
    <row r="3718" spans="5:30" ht="15">
      <c r="E3718" s="9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</row>
    <row r="3719" spans="5:30" ht="15">
      <c r="E3719" s="9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</row>
    <row r="3720" spans="5:30" ht="15">
      <c r="E3720" s="9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</row>
    <row r="3721" spans="5:30" ht="15">
      <c r="E3721" s="9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</row>
    <row r="3722" spans="5:30" ht="15">
      <c r="E3722" s="9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</row>
    <row r="3723" spans="5:30" ht="15">
      <c r="E3723" s="9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</row>
    <row r="3724" spans="5:30" ht="15">
      <c r="E3724" s="9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</row>
    <row r="3725" spans="5:30" ht="15">
      <c r="E3725" s="9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</row>
    <row r="3726" spans="5:30" ht="15">
      <c r="E3726" s="9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</row>
    <row r="3727" spans="5:30" ht="15">
      <c r="E3727" s="9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</row>
    <row r="3728" spans="5:30" ht="15">
      <c r="E3728" s="9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</row>
    <row r="3729" spans="5:30" ht="15">
      <c r="E3729" s="9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</row>
    <row r="3730" spans="5:30" ht="15">
      <c r="E3730" s="9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</row>
    <row r="3731" spans="5:30" ht="15">
      <c r="E3731" s="9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</row>
    <row r="3732" spans="5:30" ht="15">
      <c r="E3732" s="9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</row>
    <row r="3733" spans="5:30" ht="15">
      <c r="E3733" s="9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</row>
    <row r="3734" spans="5:30" ht="15">
      <c r="E3734" s="9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</row>
    <row r="3735" spans="5:30" ht="15">
      <c r="E3735" s="9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</row>
    <row r="3736" spans="5:30" ht="15">
      <c r="E3736" s="9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</row>
    <row r="3737" spans="5:30" ht="15">
      <c r="E3737" s="9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</row>
    <row r="3738" spans="5:30" ht="15">
      <c r="E3738" s="9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</row>
    <row r="3739" spans="5:30" ht="15">
      <c r="E3739" s="9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</row>
    <row r="3740" spans="5:30" ht="15">
      <c r="E3740" s="9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</row>
    <row r="3741" spans="5:30" ht="15">
      <c r="E3741" s="9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</row>
    <row r="3742" spans="5:30" ht="15">
      <c r="E3742" s="9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</row>
    <row r="3743" spans="5:30" ht="15">
      <c r="E3743" s="9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</row>
    <row r="3744" spans="5:30" ht="15">
      <c r="E3744" s="9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</row>
    <row r="3745" spans="5:30" ht="15">
      <c r="E3745" s="9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</row>
    <row r="3746" spans="5:30" ht="15">
      <c r="E3746" s="9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</row>
    <row r="3747" spans="5:30" ht="15">
      <c r="E3747" s="9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</row>
    <row r="3748" spans="5:30" ht="15">
      <c r="E3748" s="9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</row>
    <row r="3749" spans="5:30" ht="15">
      <c r="E3749" s="9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</row>
    <row r="3750" spans="5:30" ht="15">
      <c r="E3750" s="9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</row>
    <row r="3751" spans="5:30" ht="15">
      <c r="E3751" s="9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</row>
    <row r="3752" spans="5:30" ht="15">
      <c r="E3752" s="9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</row>
    <row r="3753" spans="5:30" ht="15">
      <c r="E3753" s="9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</row>
    <row r="3754" spans="5:30" ht="15">
      <c r="E3754" s="9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</row>
    <row r="3755" spans="5:30" ht="15">
      <c r="E3755" s="9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</row>
    <row r="3756" spans="5:30" ht="15">
      <c r="E3756" s="9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</row>
    <row r="3757" spans="5:30" ht="15">
      <c r="E3757" s="9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</row>
    <row r="3758" spans="5:30" ht="15">
      <c r="E3758" s="9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</row>
    <row r="3759" spans="5:30" ht="15">
      <c r="E3759" s="9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</row>
    <row r="3760" spans="5:30" ht="15">
      <c r="E3760" s="9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</row>
    <row r="3761" spans="5:30" ht="15">
      <c r="E3761" s="9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</row>
    <row r="3762" spans="5:30" ht="15">
      <c r="E3762" s="9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</row>
    <row r="3763" spans="5:30" ht="15">
      <c r="E3763" s="9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</row>
    <row r="3764" spans="5:30" ht="15">
      <c r="E3764" s="9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</row>
    <row r="3765" spans="5:30" ht="15">
      <c r="E3765" s="9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</row>
    <row r="3766" spans="5:30" ht="15">
      <c r="E3766" s="9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</row>
    <row r="3767" spans="5:30" ht="15">
      <c r="E3767" s="9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</row>
    <row r="3768" spans="5:30" ht="15">
      <c r="E3768" s="9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</row>
    <row r="3769" spans="5:30" ht="15">
      <c r="E3769" s="9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</row>
    <row r="3770" spans="5:30" ht="15">
      <c r="E3770" s="9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</row>
    <row r="3771" spans="5:30" ht="15">
      <c r="E3771" s="9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</row>
    <row r="3772" spans="5:30" ht="15">
      <c r="E3772" s="9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</row>
    <row r="3773" spans="5:30" ht="15">
      <c r="E3773" s="9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</row>
    <row r="3774" spans="5:30" ht="15">
      <c r="E3774" s="9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</row>
    <row r="3775" spans="5:30" ht="15">
      <c r="E3775" s="9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</row>
    <row r="3776" spans="5:30" ht="15">
      <c r="E3776" s="9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</row>
    <row r="3777" spans="5:30" ht="15">
      <c r="E3777" s="9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</row>
    <row r="3778" spans="5:30" ht="15">
      <c r="E3778" s="9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</row>
    <row r="3779" spans="5:30" ht="15">
      <c r="E3779" s="9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</row>
    <row r="3780" spans="5:30" ht="15">
      <c r="E3780" s="9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</row>
    <row r="3781" spans="5:30" ht="15">
      <c r="E3781" s="9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</row>
    <row r="3782" spans="5:30" ht="15">
      <c r="E3782" s="9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</row>
    <row r="3783" spans="5:30" ht="15">
      <c r="E3783" s="9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</row>
    <row r="3784" spans="5:30" ht="15">
      <c r="E3784" s="9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</row>
    <row r="3785" spans="5:30" ht="15">
      <c r="E3785" s="9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</row>
    <row r="3786" spans="5:30" ht="15">
      <c r="E3786" s="9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</row>
    <row r="3787" spans="5:30" ht="15">
      <c r="E3787" s="9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</row>
    <row r="3788" spans="5:30" ht="15">
      <c r="E3788" s="9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</row>
    <row r="3789" spans="5:30" ht="15">
      <c r="E3789" s="9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</row>
    <row r="3790" spans="5:30" ht="15">
      <c r="E3790" s="9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</row>
    <row r="3791" spans="5:30" ht="15">
      <c r="E3791" s="9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</row>
    <row r="3792" spans="5:30" ht="15">
      <c r="E3792" s="9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</row>
    <row r="3793" spans="5:30" ht="15">
      <c r="E3793" s="9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</row>
    <row r="3794" spans="5:30" ht="15">
      <c r="E3794" s="9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</row>
    <row r="3795" spans="5:30" ht="15">
      <c r="E3795" s="9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</row>
    <row r="3796" spans="5:30" ht="15">
      <c r="E3796" s="9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</row>
    <row r="3797" spans="5:30" ht="15">
      <c r="E3797" s="9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</row>
    <row r="3798" spans="5:30" ht="15">
      <c r="E3798" s="9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</row>
    <row r="3799" spans="5:30" ht="15">
      <c r="E3799" s="9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</row>
    <row r="3800" spans="5:30" ht="15">
      <c r="E3800" s="9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</row>
    <row r="3801" spans="5:30" ht="15">
      <c r="E3801" s="9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</row>
    <row r="3802" spans="5:30" ht="15">
      <c r="E3802" s="9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</row>
    <row r="3803" spans="5:30" ht="15">
      <c r="E3803" s="9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</row>
    <row r="3804" spans="5:30" ht="15">
      <c r="E3804" s="9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</row>
    <row r="3805" spans="5:30" ht="15">
      <c r="E3805" s="9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</row>
    <row r="3806" spans="5:30" ht="15">
      <c r="E3806" s="9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</row>
    <row r="3807" spans="5:30" ht="15">
      <c r="E3807" s="9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</row>
    <row r="3808" spans="5:30" ht="15">
      <c r="E3808" s="9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</row>
    <row r="3809" spans="5:30" ht="15">
      <c r="E3809" s="9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</row>
    <row r="3810" spans="5:30" ht="15">
      <c r="E3810" s="9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</row>
    <row r="3811" spans="5:30" ht="15">
      <c r="E3811" s="9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</row>
    <row r="3812" spans="5:30" ht="15">
      <c r="E3812" s="9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</row>
    <row r="3813" spans="5:30" ht="15">
      <c r="E3813" s="9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</row>
    <row r="3814" spans="5:30" ht="15">
      <c r="E3814" s="9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</row>
    <row r="3815" spans="5:30" ht="15">
      <c r="E3815" s="9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</row>
    <row r="3816" spans="5:30" ht="15">
      <c r="E3816" s="9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</row>
    <row r="3817" spans="5:30" ht="15">
      <c r="E3817" s="9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</row>
    <row r="3818" spans="5:30" ht="15">
      <c r="E3818" s="9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</row>
    <row r="3819" spans="5:30" ht="15">
      <c r="E3819" s="9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</row>
    <row r="3820" spans="5:30" ht="15">
      <c r="E3820" s="9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</row>
    <row r="3821" spans="5:30" ht="15">
      <c r="E3821" s="9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</row>
    <row r="3822" spans="5:30" ht="15">
      <c r="E3822" s="9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</row>
    <row r="3823" spans="5:30" ht="15">
      <c r="E3823" s="9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</row>
    <row r="3824" spans="5:30" ht="15">
      <c r="E3824" s="9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</row>
    <row r="3825" spans="5:30" ht="15">
      <c r="E3825" s="9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</row>
    <row r="3826" spans="5:30" ht="15">
      <c r="E3826" s="9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</row>
    <row r="3827" spans="5:30" ht="15">
      <c r="E3827" s="9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</row>
    <row r="3828" spans="5:30" ht="15">
      <c r="E3828" s="9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</row>
    <row r="3829" spans="5:30" ht="15">
      <c r="E3829" s="9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</row>
    <row r="3830" spans="5:30" ht="15">
      <c r="E3830" s="9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</row>
    <row r="3831" spans="5:30" ht="15">
      <c r="E3831" s="9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</row>
    <row r="3832" spans="5:30" ht="15">
      <c r="E3832" s="9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</row>
    <row r="3833" spans="5:30" ht="15">
      <c r="E3833" s="9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</row>
    <row r="3834" spans="5:30" ht="15">
      <c r="E3834" s="9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</row>
    <row r="3835" spans="5:30" ht="15">
      <c r="E3835" s="9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</row>
    <row r="3836" spans="5:30" ht="15">
      <c r="E3836" s="9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</row>
    <row r="3837" spans="5:30" ht="15">
      <c r="E3837" s="9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</row>
    <row r="3838" spans="5:30" ht="15">
      <c r="E3838" s="9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</row>
    <row r="3839" spans="5:30" ht="15">
      <c r="E3839" s="9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</row>
    <row r="3840" spans="5:30" ht="15">
      <c r="E3840" s="9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</row>
    <row r="3841" spans="5:30" ht="15">
      <c r="E3841" s="9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</row>
    <row r="3842" spans="5:30" ht="15">
      <c r="E3842" s="9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</row>
    <row r="3843" spans="5:30" ht="15">
      <c r="E3843" s="9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</row>
    <row r="3844" spans="5:30" ht="15">
      <c r="E3844" s="9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</row>
    <row r="3845" spans="5:30" ht="15">
      <c r="E3845" s="9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</row>
    <row r="3846" spans="5:30" ht="15">
      <c r="E3846" s="9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</row>
    <row r="3847" spans="5:30" ht="15">
      <c r="E3847" s="9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</row>
    <row r="3848" spans="5:30" ht="15">
      <c r="E3848" s="9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</row>
    <row r="3849" spans="5:30" ht="15">
      <c r="E3849" s="9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</row>
    <row r="3850" spans="5:30" ht="15">
      <c r="E3850" s="9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</row>
    <row r="3851" spans="5:30" ht="15">
      <c r="E3851" s="9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</row>
    <row r="3852" spans="5:30" ht="15">
      <c r="E3852" s="9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</row>
    <row r="3853" spans="5:30" ht="15">
      <c r="E3853" s="9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</row>
    <row r="3854" spans="5:30" ht="15">
      <c r="E3854" s="9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</row>
    <row r="3855" spans="5:30" ht="15">
      <c r="E3855" s="9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</row>
    <row r="3856" spans="5:30" ht="15">
      <c r="E3856" s="9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</row>
    <row r="3857" spans="5:30" ht="15">
      <c r="E3857" s="9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</row>
    <row r="3858" spans="5:30" ht="15">
      <c r="E3858" s="9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</row>
    <row r="3859" spans="5:30" ht="15">
      <c r="E3859" s="9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</row>
    <row r="3860" spans="5:30" ht="15">
      <c r="E3860" s="9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</row>
    <row r="3861" spans="5:30" ht="15">
      <c r="E3861" s="9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</row>
    <row r="3862" spans="5:30" ht="15">
      <c r="E3862" s="9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</row>
    <row r="3863" spans="5:30" ht="15">
      <c r="E3863" s="9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</row>
    <row r="3864" spans="5:30" ht="15">
      <c r="E3864" s="9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</row>
    <row r="3865" spans="5:30" ht="15">
      <c r="E3865" s="9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</row>
    <row r="3866" spans="5:30" ht="15">
      <c r="E3866" s="9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</row>
    <row r="3867" spans="5:30" ht="15">
      <c r="E3867" s="9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</row>
    <row r="3868" spans="5:30" ht="15">
      <c r="E3868" s="9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</row>
    <row r="3869" spans="5:30" ht="15">
      <c r="E3869" s="9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</row>
    <row r="3870" spans="5:30" ht="15">
      <c r="E3870" s="9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</row>
    <row r="3871" spans="5:30" ht="15">
      <c r="E3871" s="9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</row>
    <row r="3872" spans="5:30" ht="15">
      <c r="E3872" s="9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</row>
    <row r="3873" spans="5:30" ht="15">
      <c r="E3873" s="9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</row>
    <row r="3874" spans="5:30" ht="15">
      <c r="E3874" s="9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</row>
    <row r="3875" spans="5:30" ht="15">
      <c r="E3875" s="9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</row>
    <row r="3876" spans="5:30" ht="15">
      <c r="E3876" s="9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</row>
    <row r="3877" spans="5:30" ht="15">
      <c r="E3877" s="9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</row>
    <row r="3878" spans="5:30" ht="15">
      <c r="E3878" s="9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</row>
    <row r="3879" spans="5:30" ht="15">
      <c r="E3879" s="9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</row>
    <row r="3880" spans="5:30" ht="15">
      <c r="E3880" s="9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</row>
    <row r="3881" spans="5:30" ht="15">
      <c r="E3881" s="9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</row>
    <row r="3882" spans="5:30" ht="15">
      <c r="E3882" s="9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</row>
    <row r="3883" spans="5:30" ht="15">
      <c r="E3883" s="9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</row>
    <row r="3884" spans="5:30" ht="15">
      <c r="E3884" s="9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</row>
    <row r="3885" spans="5:30" ht="15">
      <c r="E3885" s="9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</row>
    <row r="3886" spans="5:30" ht="15">
      <c r="E3886" s="9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</row>
    <row r="3887" spans="5:30" ht="15">
      <c r="E3887" s="9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</row>
    <row r="3888" spans="5:30" ht="15">
      <c r="E3888" s="9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</row>
    <row r="3889" spans="5:30" ht="15">
      <c r="E3889" s="9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</row>
    <row r="3890" spans="5:30" ht="15">
      <c r="E3890" s="9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</row>
    <row r="3891" spans="5:30" ht="15">
      <c r="E3891" s="9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</row>
    <row r="3892" spans="5:30" ht="15">
      <c r="E3892" s="9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</row>
    <row r="3893" spans="5:30" ht="15">
      <c r="E3893" s="9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</row>
    <row r="3894" spans="5:30" ht="15">
      <c r="E3894" s="9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</row>
    <row r="3895" spans="5:30" ht="15">
      <c r="E3895" s="9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</row>
    <row r="3896" spans="5:30" ht="15">
      <c r="E3896" s="9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</row>
    <row r="3897" spans="5:30" ht="15">
      <c r="E3897" s="9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</row>
    <row r="3898" spans="5:30" ht="15">
      <c r="E3898" s="9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</row>
    <row r="3899" spans="5:30" ht="15">
      <c r="E3899" s="9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</row>
    <row r="3900" spans="5:30" ht="15">
      <c r="E3900" s="9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</row>
    <row r="3901" spans="5:30" ht="15">
      <c r="E3901" s="9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</row>
    <row r="3902" spans="5:30" ht="15">
      <c r="E3902" s="9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</row>
    <row r="3903" spans="5:30" ht="15">
      <c r="E3903" s="9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</row>
    <row r="3904" spans="5:30" ht="15">
      <c r="E3904" s="9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</row>
    <row r="3905" spans="5:30" ht="15">
      <c r="E3905" s="9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</row>
    <row r="3906" spans="5:30" ht="15">
      <c r="E3906" s="9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</row>
    <row r="3907" spans="5:30" ht="15">
      <c r="E3907" s="9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</row>
    <row r="3908" spans="5:30" ht="15">
      <c r="E3908" s="9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</row>
    <row r="3909" spans="5:30" ht="15">
      <c r="E3909" s="9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</row>
    <row r="3910" spans="5:30" ht="15">
      <c r="E3910" s="9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</row>
    <row r="3911" spans="5:30" ht="15">
      <c r="E3911" s="9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</row>
    <row r="3912" spans="5:30" ht="15">
      <c r="E3912" s="9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</row>
    <row r="3913" spans="5:30" ht="15">
      <c r="E3913" s="9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</row>
    <row r="3914" spans="5:30" ht="15">
      <c r="E3914" s="9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</row>
    <row r="3915" spans="5:30" ht="15">
      <c r="E3915" s="9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</row>
    <row r="3916" spans="5:30" ht="15">
      <c r="E3916" s="9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</row>
    <row r="3917" spans="5:30" ht="15">
      <c r="E3917" s="9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</row>
    <row r="3918" spans="5:30" ht="15">
      <c r="E3918" s="9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</row>
    <row r="3919" spans="5:30" ht="15">
      <c r="E3919" s="9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</row>
    <row r="3920" spans="5:30" ht="15">
      <c r="E3920" s="9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</row>
    <row r="3921" spans="5:30" ht="15">
      <c r="E3921" s="9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</row>
    <row r="3922" spans="5:30" ht="15">
      <c r="E3922" s="9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</row>
    <row r="3923" spans="5:30" ht="15">
      <c r="E3923" s="9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</row>
    <row r="3924" spans="5:30" ht="15">
      <c r="E3924" s="9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</row>
    <row r="3925" spans="5:30" ht="15">
      <c r="E3925" s="9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</row>
    <row r="3926" spans="5:30" ht="15">
      <c r="E3926" s="9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</row>
    <row r="3927" spans="5:30" ht="15">
      <c r="E3927" s="9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</row>
    <row r="3928" spans="5:30" ht="15">
      <c r="E3928" s="9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</row>
    <row r="3929" spans="5:30" ht="15">
      <c r="E3929" s="9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</row>
    <row r="3930" spans="5:30" ht="15">
      <c r="E3930" s="9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</row>
    <row r="3931" spans="5:30" ht="15">
      <c r="E3931" s="9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</row>
    <row r="3932" spans="5:30" ht="15">
      <c r="E3932" s="9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</row>
    <row r="3933" spans="5:30" ht="15">
      <c r="E3933" s="9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</row>
    <row r="3934" spans="5:30" ht="15">
      <c r="E3934" s="9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</row>
    <row r="3935" spans="5:30" ht="15">
      <c r="E3935" s="9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</row>
    <row r="3936" spans="5:30" ht="15">
      <c r="E3936" s="9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</row>
    <row r="3937" spans="5:30" ht="15">
      <c r="E3937" s="9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</row>
    <row r="3938" spans="5:30" ht="15">
      <c r="E3938" s="9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</row>
    <row r="3939" spans="5:30" ht="15">
      <c r="E3939" s="9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</row>
    <row r="3940" spans="5:30" ht="15">
      <c r="E3940" s="9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</row>
    <row r="3941" spans="5:30" ht="15">
      <c r="E3941" s="9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</row>
    <row r="3942" spans="5:30" ht="15">
      <c r="E3942" s="9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</row>
    <row r="3943" spans="5:30" ht="15">
      <c r="E3943" s="9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</row>
    <row r="3944" spans="5:30" ht="15">
      <c r="E3944" s="9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</row>
    <row r="3945" spans="5:30" ht="15">
      <c r="E3945" s="9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</row>
    <row r="3946" spans="5:30" ht="15">
      <c r="E3946" s="9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</row>
    <row r="3947" spans="5:30" ht="15">
      <c r="E3947" s="9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</row>
    <row r="3948" spans="5:30" ht="15">
      <c r="E3948" s="9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</row>
    <row r="3949" spans="5:30" ht="15">
      <c r="E3949" s="9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</row>
    <row r="3950" spans="5:30" ht="15">
      <c r="E3950" s="9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</row>
    <row r="3951" spans="5:30" ht="15">
      <c r="E3951" s="9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</row>
    <row r="3952" spans="5:30" ht="15">
      <c r="E3952" s="9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</row>
    <row r="3953" spans="5:30" ht="15">
      <c r="E3953" s="9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</row>
    <row r="3954" spans="5:30" ht="15">
      <c r="E3954" s="9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</row>
    <row r="3955" spans="5:30" ht="15">
      <c r="E3955" s="9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</row>
    <row r="3956" spans="5:30" ht="15">
      <c r="E3956" s="9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</row>
    <row r="3957" spans="5:30" ht="15">
      <c r="E3957" s="9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</row>
    <row r="3958" spans="5:30" ht="15">
      <c r="E3958" s="9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</row>
    <row r="3959" spans="5:30" ht="15">
      <c r="E3959" s="9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</row>
    <row r="3960" spans="5:30" ht="15">
      <c r="E3960" s="9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</row>
    <row r="3961" spans="5:30" ht="15">
      <c r="E3961" s="9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</row>
    <row r="3962" spans="5:30" ht="15">
      <c r="E3962" s="9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</row>
    <row r="3963" spans="5:30" ht="15">
      <c r="E3963" s="9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</row>
    <row r="3964" spans="5:30" ht="15">
      <c r="E3964" s="9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</row>
    <row r="3965" spans="5:30" ht="15">
      <c r="E3965" s="9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</row>
    <row r="3966" spans="5:30" ht="15">
      <c r="E3966" s="9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</row>
    <row r="3967" spans="5:30" ht="15">
      <c r="E3967" s="9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</row>
    <row r="3968" spans="5:30" ht="15">
      <c r="E3968" s="9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</row>
    <row r="3969" spans="5:30" ht="15">
      <c r="E3969" s="9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</row>
    <row r="3970" spans="5:30" ht="15">
      <c r="E3970" s="9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</row>
    <row r="3971" spans="5:30" ht="15">
      <c r="E3971" s="9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</row>
    <row r="3972" spans="5:30" ht="15">
      <c r="E3972" s="9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</row>
    <row r="3973" spans="5:30" ht="15">
      <c r="E3973" s="9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</row>
    <row r="3974" spans="5:30" ht="15">
      <c r="E3974" s="9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</row>
    <row r="3975" spans="5:30" ht="15">
      <c r="E3975" s="9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</row>
    <row r="3976" spans="5:30" ht="15">
      <c r="E3976" s="9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</row>
    <row r="3977" spans="5:30" ht="15">
      <c r="E3977" s="9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</row>
    <row r="3978" spans="5:30" ht="15">
      <c r="E3978" s="9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</row>
    <row r="3979" spans="5:30" ht="15">
      <c r="E3979" s="9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</row>
    <row r="3980" spans="5:30" ht="15">
      <c r="E3980" s="9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</row>
    <row r="3981" spans="5:30" ht="15">
      <c r="E3981" s="9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</row>
    <row r="3982" spans="5:30" ht="15">
      <c r="E3982" s="9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</row>
    <row r="3983" spans="5:30" ht="15">
      <c r="E3983" s="9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</row>
    <row r="3984" spans="5:30" ht="15">
      <c r="E3984" s="9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</row>
    <row r="3985" spans="5:30" ht="15">
      <c r="E3985" s="9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</row>
    <row r="3986" spans="5:30" ht="15">
      <c r="E3986" s="9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</row>
    <row r="3987" spans="5:30" ht="15">
      <c r="E3987" s="9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</row>
    <row r="3988" spans="5:30" ht="15">
      <c r="E3988" s="9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</row>
    <row r="3989" spans="5:30" ht="15">
      <c r="E3989" s="9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</row>
    <row r="3990" spans="5:30" ht="15">
      <c r="E3990" s="9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</row>
    <row r="3991" spans="5:30" ht="15">
      <c r="E3991" s="9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</row>
    <row r="3992" spans="5:30" ht="15">
      <c r="E3992" s="9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</row>
    <row r="3993" spans="5:30" ht="15">
      <c r="E3993" s="9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</row>
    <row r="3994" spans="5:30" ht="15">
      <c r="E3994" s="9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</row>
    <row r="3995" spans="5:30" ht="15">
      <c r="E3995" s="9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</row>
    <row r="3996" spans="5:30" ht="15">
      <c r="E3996" s="9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</row>
    <row r="3997" spans="5:30" ht="15">
      <c r="E3997" s="9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</row>
    <row r="3998" spans="5:30" ht="15">
      <c r="E3998" s="9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</row>
    <row r="3999" spans="5:30" ht="15">
      <c r="E3999" s="9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</row>
    <row r="4000" spans="5:30" ht="15">
      <c r="E4000" s="9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</row>
    <row r="4001" spans="5:30" ht="15">
      <c r="E4001" s="9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</row>
    <row r="4002" spans="5:30" ht="15">
      <c r="E4002" s="9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</row>
    <row r="4003" spans="5:30" ht="15">
      <c r="E4003" s="9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</row>
    <row r="4004" spans="5:30" ht="15">
      <c r="E4004" s="9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</row>
    <row r="4005" spans="5:30" ht="15">
      <c r="E4005" s="9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</row>
    <row r="4006" spans="5:30" ht="15">
      <c r="E4006" s="9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</row>
    <row r="4007" spans="5:30" ht="15">
      <c r="E4007" s="9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</row>
    <row r="4008" spans="5:30" ht="15">
      <c r="E4008" s="9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</row>
    <row r="4009" spans="5:30" ht="15">
      <c r="E4009" s="9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</row>
    <row r="4010" spans="5:30" ht="15">
      <c r="E4010" s="9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</row>
    <row r="4011" spans="5:30" ht="15">
      <c r="E4011" s="9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</row>
    <row r="4012" spans="5:30" ht="15">
      <c r="E4012" s="9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</row>
    <row r="4013" spans="5:30" ht="15">
      <c r="E4013" s="9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</row>
    <row r="4014" spans="5:30" ht="15">
      <c r="E4014" s="9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</row>
    <row r="4015" spans="5:30" ht="15">
      <c r="E4015" s="9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</row>
    <row r="4016" spans="5:30" ht="15">
      <c r="E4016" s="9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</row>
    <row r="4017" spans="5:30" ht="15">
      <c r="E4017" s="9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</row>
    <row r="4018" spans="5:30" ht="15">
      <c r="E4018" s="9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</row>
    <row r="4019" spans="5:30" ht="15">
      <c r="E4019" s="9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</row>
    <row r="4020" spans="5:30" ht="15">
      <c r="E4020" s="9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</row>
    <row r="4021" spans="5:30" ht="15">
      <c r="E4021" s="9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</row>
    <row r="4022" spans="5:30" ht="15">
      <c r="E4022" s="9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</row>
    <row r="4023" spans="5:30" ht="15">
      <c r="E4023" s="9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</row>
    <row r="4024" spans="5:30" ht="15">
      <c r="E4024" s="9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</row>
    <row r="4025" spans="5:30" ht="15">
      <c r="E4025" s="9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</row>
    <row r="4026" spans="5:30" ht="15">
      <c r="E4026" s="9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</row>
    <row r="4027" spans="5:30" ht="15">
      <c r="E4027" s="9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</row>
    <row r="4028" spans="5:30" ht="15">
      <c r="E4028" s="9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</row>
    <row r="4029" spans="5:30" ht="15">
      <c r="E4029" s="9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</row>
    <row r="4030" spans="5:30" ht="15">
      <c r="E4030" s="9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</row>
    <row r="4031" spans="5:30" ht="15">
      <c r="E4031" s="9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</row>
    <row r="4032" spans="5:30" ht="15">
      <c r="E4032" s="9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</row>
    <row r="4033" spans="5:30" ht="15">
      <c r="E4033" s="9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</row>
    <row r="4034" spans="5:30" ht="15">
      <c r="E4034" s="9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</row>
    <row r="4035" spans="5:30" ht="15">
      <c r="E4035" s="9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</row>
    <row r="4036" spans="5:30" ht="15">
      <c r="E4036" s="9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</row>
    <row r="4037" spans="5:30" ht="15">
      <c r="E4037" s="9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</row>
    <row r="4038" spans="5:30" ht="15">
      <c r="E4038" s="9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</row>
    <row r="4039" spans="5:30" ht="15">
      <c r="E4039" s="9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</row>
    <row r="4040" spans="5:30" ht="15">
      <c r="E4040" s="9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</row>
    <row r="4041" spans="5:30" ht="15">
      <c r="E4041" s="9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</row>
    <row r="4042" spans="5:30" ht="15">
      <c r="E4042" s="9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</row>
    <row r="4043" spans="5:30" ht="15">
      <c r="E4043" s="9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</row>
    <row r="4044" spans="5:30" ht="15">
      <c r="E4044" s="9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</row>
    <row r="4045" spans="5:30" ht="15">
      <c r="E4045" s="9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</row>
    <row r="4046" spans="5:30" ht="15">
      <c r="E4046" s="9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</row>
    <row r="4047" spans="5:30" ht="15">
      <c r="E4047" s="9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</row>
    <row r="4048" spans="5:30" ht="15">
      <c r="E4048" s="9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</row>
    <row r="4049" spans="5:30" ht="15">
      <c r="E4049" s="9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</row>
    <row r="4050" spans="5:30" ht="15">
      <c r="E4050" s="9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</row>
    <row r="4051" spans="5:30" ht="15">
      <c r="E4051" s="9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</row>
    <row r="4052" spans="5:30" ht="15">
      <c r="E4052" s="9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</row>
    <row r="4053" spans="5:30" ht="15">
      <c r="E4053" s="9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</row>
    <row r="4054" spans="5:30" ht="15">
      <c r="E4054" s="9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</row>
    <row r="4055" spans="5:30" ht="15">
      <c r="E4055" s="9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</row>
    <row r="4056" spans="5:30" ht="15">
      <c r="E4056" s="9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</row>
    <row r="4057" spans="5:30" ht="15">
      <c r="E4057" s="9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</row>
    <row r="4058" spans="5:30" ht="15">
      <c r="E4058" s="9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</row>
    <row r="4059" spans="5:30" ht="15">
      <c r="E4059" s="9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</row>
    <row r="4060" spans="5:30" ht="15">
      <c r="E4060" s="9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</row>
    <row r="4061" spans="5:30" ht="15">
      <c r="E4061" s="9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</row>
    <row r="4062" spans="5:30" ht="15">
      <c r="E4062" s="9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</row>
    <row r="4063" spans="5:30" ht="15">
      <c r="E4063" s="9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</row>
    <row r="4064" spans="5:30" ht="15">
      <c r="E4064" s="9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</row>
    <row r="4065" spans="5:30" ht="15">
      <c r="E4065" s="9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</row>
    <row r="4066" spans="5:30" ht="15">
      <c r="E4066" s="9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</row>
    <row r="4067" spans="5:30" ht="15">
      <c r="E4067" s="9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</row>
    <row r="4068" spans="5:30" ht="15">
      <c r="E4068" s="9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</row>
    <row r="4069" spans="5:30" ht="15">
      <c r="E4069" s="9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</row>
    <row r="4070" spans="5:30" ht="15">
      <c r="E4070" s="9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</row>
    <row r="4071" spans="5:30" ht="15">
      <c r="E4071" s="9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</row>
    <row r="4072" spans="5:30" ht="15">
      <c r="E4072" s="9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</row>
    <row r="4073" spans="5:30" ht="15">
      <c r="E4073" s="9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</row>
    <row r="4074" spans="5:30" ht="15">
      <c r="E4074" s="9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</row>
    <row r="4075" spans="5:30" ht="15">
      <c r="E4075" s="9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</row>
    <row r="4076" spans="5:30" ht="15">
      <c r="E4076" s="9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</row>
    <row r="4077" spans="5:30" ht="15">
      <c r="E4077" s="9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</row>
    <row r="4078" spans="5:30" ht="15">
      <c r="E4078" s="9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</row>
    <row r="4079" spans="5:30" ht="15">
      <c r="E4079" s="9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</row>
    <row r="4080" spans="5:30" ht="15">
      <c r="E4080" s="9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</row>
    <row r="4081" spans="5:30" ht="15">
      <c r="E4081" s="9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</row>
    <row r="4082" spans="5:30" ht="15">
      <c r="E4082" s="9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</row>
    <row r="4083" spans="5:30" ht="15">
      <c r="E4083" s="9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</row>
    <row r="4084" spans="5:30" ht="15">
      <c r="E4084" s="9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</row>
    <row r="4085" spans="5:30" ht="15">
      <c r="E4085" s="9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</row>
    <row r="4086" spans="5:30" ht="15">
      <c r="E4086" s="9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</row>
    <row r="4087" spans="5:30" ht="15">
      <c r="E4087" s="9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</row>
    <row r="4088" spans="5:30" ht="15">
      <c r="E4088" s="9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</row>
    <row r="4089" spans="5:30" ht="15">
      <c r="E4089" s="9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</row>
    <row r="4090" spans="5:30" ht="15">
      <c r="E4090" s="9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</row>
    <row r="4091" spans="5:30" ht="15">
      <c r="E4091" s="9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</row>
    <row r="4092" spans="5:30" ht="15">
      <c r="E4092" s="9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</row>
    <row r="4093" spans="5:30" ht="15">
      <c r="E4093" s="9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</row>
    <row r="4094" spans="5:30" ht="15">
      <c r="E4094" s="9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</row>
    <row r="4095" spans="5:30" ht="15">
      <c r="E4095" s="9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</row>
    <row r="4096" spans="5:30" ht="15">
      <c r="E4096" s="9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</row>
    <row r="4097" spans="5:30" ht="15">
      <c r="E4097" s="9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</row>
    <row r="4098" spans="5:30" ht="15">
      <c r="E4098" s="9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</row>
    <row r="4099" spans="5:30" ht="15">
      <c r="E4099" s="9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</row>
    <row r="4100" spans="5:30" ht="15">
      <c r="E4100" s="9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</row>
    <row r="4101" spans="5:30" ht="15">
      <c r="E4101" s="9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</row>
    <row r="4102" spans="5:30" ht="15">
      <c r="E4102" s="9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</row>
    <row r="4103" spans="5:30" ht="15">
      <c r="E4103" s="9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</row>
    <row r="4104" spans="5:30" ht="15">
      <c r="E4104" s="9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</row>
    <row r="4105" spans="5:30" ht="15">
      <c r="E4105" s="9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</row>
    <row r="4106" spans="5:30" ht="15">
      <c r="E4106" s="9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</row>
    <row r="4107" spans="5:30" ht="15">
      <c r="E4107" s="9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</row>
    <row r="4108" spans="5:30" ht="15">
      <c r="E4108" s="9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</row>
    <row r="4109" spans="5:30" ht="15">
      <c r="E4109" s="9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</row>
    <row r="4110" spans="5:30" ht="15">
      <c r="E4110" s="9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</row>
    <row r="4111" spans="5:30" ht="15">
      <c r="E4111" s="9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</row>
    <row r="4112" spans="5:30" ht="15">
      <c r="E4112" s="9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</row>
    <row r="4113" spans="5:30" ht="15">
      <c r="E4113" s="9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</row>
    <row r="4114" spans="5:30" ht="15">
      <c r="E4114" s="9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</row>
    <row r="4115" spans="5:30" ht="15">
      <c r="E4115" s="9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</row>
    <row r="4116" spans="5:30" ht="15">
      <c r="E4116" s="9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</row>
    <row r="4117" spans="5:30" ht="15">
      <c r="E4117" s="9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</row>
    <row r="4118" spans="5:30" ht="15">
      <c r="E4118" s="9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</row>
    <row r="4119" spans="5:30" ht="15">
      <c r="E4119" s="9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</row>
    <row r="4120" spans="5:30" ht="15">
      <c r="E4120" s="9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</row>
    <row r="4121" spans="5:30" ht="15">
      <c r="E4121" s="9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</row>
    <row r="4122" spans="5:30" ht="15">
      <c r="E4122" s="9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</row>
    <row r="4123" spans="5:30" ht="15">
      <c r="E4123" s="9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</row>
    <row r="4124" spans="5:30" ht="15">
      <c r="E4124" s="9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</row>
    <row r="4125" spans="5:30" ht="15">
      <c r="E4125" s="9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</row>
    <row r="4126" spans="5:30" ht="15">
      <c r="E4126" s="9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</row>
    <row r="4127" spans="5:30" ht="15">
      <c r="E4127" s="9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</row>
    <row r="4128" spans="5:30" ht="15">
      <c r="E4128" s="9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</row>
    <row r="4129" spans="5:30" ht="15">
      <c r="E4129" s="9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</row>
    <row r="4130" spans="5:30" ht="15">
      <c r="E4130" s="9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</row>
    <row r="4131" spans="5:30" ht="15">
      <c r="E4131" s="9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</row>
    <row r="4132" spans="5:30" ht="15">
      <c r="E4132" s="9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</row>
    <row r="4133" spans="5:30" ht="15">
      <c r="E4133" s="9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</row>
    <row r="4134" spans="5:30" ht="15">
      <c r="E4134" s="9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</row>
    <row r="4135" spans="5:30" ht="15">
      <c r="E4135" s="9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</row>
    <row r="4136" spans="5:30" ht="15">
      <c r="E4136" s="9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</row>
    <row r="4137" spans="5:30" ht="15">
      <c r="E4137" s="9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</row>
    <row r="4138" spans="5:30" ht="15">
      <c r="E4138" s="9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</row>
    <row r="4139" spans="5:30" ht="15">
      <c r="E4139" s="9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</row>
    <row r="4140" spans="5:30" ht="15">
      <c r="E4140" s="9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</row>
    <row r="4141" spans="5:30" ht="15">
      <c r="E4141" s="9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</row>
    <row r="4142" spans="5:30" ht="15">
      <c r="E4142" s="9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</row>
    <row r="4143" spans="5:30" ht="15">
      <c r="E4143" s="9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</row>
    <row r="4144" spans="5:30" ht="15">
      <c r="E4144" s="9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</row>
    <row r="4145" spans="5:30" ht="15">
      <c r="E4145" s="9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</row>
    <row r="4146" spans="5:30" ht="15">
      <c r="E4146" s="9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</row>
    <row r="4147" spans="5:30" ht="15">
      <c r="E4147" s="9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</row>
    <row r="4148" spans="5:30" ht="15">
      <c r="E4148" s="9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</row>
    <row r="4149" spans="5:30" ht="15">
      <c r="E4149" s="9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</row>
    <row r="4150" spans="5:30" ht="15">
      <c r="E4150" s="9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</row>
    <row r="4151" spans="5:30" ht="15">
      <c r="E4151" s="9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</row>
    <row r="4152" spans="5:30" ht="15">
      <c r="E4152" s="9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</row>
    <row r="4153" spans="5:30" ht="15">
      <c r="E4153" s="9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</row>
    <row r="4154" spans="5:30" ht="15">
      <c r="E4154" s="9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</row>
    <row r="4155" spans="5:30" ht="15">
      <c r="E4155" s="9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</row>
    <row r="4156" spans="5:30" ht="15">
      <c r="E4156" s="9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</row>
    <row r="4157" spans="5:30" ht="15">
      <c r="E4157" s="9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</row>
    <row r="4158" spans="5:30" ht="15">
      <c r="E4158" s="9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</row>
    <row r="4159" spans="5:30" ht="15">
      <c r="E4159" s="9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</row>
    <row r="4160" spans="5:30" ht="15">
      <c r="E4160" s="9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</row>
    <row r="4161" spans="5:30" ht="15">
      <c r="E4161" s="9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</row>
    <row r="4162" spans="5:30" ht="15">
      <c r="E4162" s="9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</row>
    <row r="4163" spans="5:30" ht="15">
      <c r="E4163" s="9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</row>
    <row r="4164" spans="5:30" ht="15">
      <c r="E4164" s="9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</row>
    <row r="4165" spans="5:30" ht="15">
      <c r="E4165" s="9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</row>
    <row r="4166" spans="5:30" ht="15">
      <c r="E4166" s="9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</row>
    <row r="4167" spans="5:30" ht="15">
      <c r="E4167" s="9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</row>
    <row r="4168" spans="5:30" ht="15">
      <c r="E4168" s="9"/>
      <c r="F4168" s="5"/>
      <c r="G4168" s="5"/>
      <c r="H4168" s="5"/>
      <c r="I4168" s="5"/>
      <c r="J4168" s="5"/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</row>
    <row r="4169" spans="5:30" ht="15">
      <c r="E4169" s="9"/>
      <c r="F4169" s="5"/>
      <c r="G4169" s="5"/>
      <c r="H4169" s="5"/>
      <c r="I4169" s="5"/>
      <c r="J4169" s="5"/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</row>
    <row r="4170" spans="5:30" ht="15">
      <c r="E4170" s="9"/>
      <c r="F4170" s="5"/>
      <c r="G4170" s="5"/>
      <c r="H4170" s="5"/>
      <c r="I4170" s="5"/>
      <c r="J4170" s="5"/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</row>
    <row r="4171" spans="5:30" ht="15">
      <c r="E4171" s="9"/>
      <c r="F4171" s="5"/>
      <c r="G4171" s="5"/>
      <c r="H4171" s="5"/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</row>
    <row r="4172" spans="5:30" ht="15">
      <c r="E4172" s="9"/>
      <c r="F4172" s="5"/>
      <c r="G4172" s="5"/>
      <c r="H4172" s="5"/>
      <c r="I4172" s="5"/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</row>
    <row r="4173" spans="5:30" ht="15">
      <c r="E4173" s="9"/>
      <c r="F4173" s="5"/>
      <c r="G4173" s="5"/>
      <c r="H4173" s="5"/>
      <c r="I4173" s="5"/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</row>
    <row r="4174" spans="5:30" ht="15">
      <c r="E4174" s="9"/>
      <c r="F4174" s="5"/>
      <c r="G4174" s="5"/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</row>
    <row r="4175" spans="5:30" ht="15">
      <c r="E4175" s="9"/>
      <c r="F4175" s="5"/>
      <c r="G4175" s="5"/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</row>
    <row r="4176" spans="5:30" ht="15">
      <c r="E4176" s="9"/>
      <c r="F4176" s="5"/>
      <c r="G4176" s="5"/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</row>
    <row r="4177" spans="5:30" ht="15">
      <c r="E4177" s="9"/>
      <c r="F4177" s="5"/>
      <c r="G4177" s="5"/>
      <c r="H4177" s="5"/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</row>
    <row r="4178" spans="5:30" ht="15">
      <c r="E4178" s="9"/>
      <c r="F4178" s="5"/>
      <c r="G4178" s="5"/>
      <c r="H4178" s="5"/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</row>
    <row r="4179" spans="5:30" ht="15">
      <c r="E4179" s="9"/>
      <c r="F4179" s="5"/>
      <c r="G4179" s="5"/>
      <c r="H4179" s="5"/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</row>
    <row r="4180" spans="5:30" ht="15">
      <c r="E4180" s="9"/>
      <c r="F4180" s="5"/>
      <c r="G4180" s="5"/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</row>
    <row r="4181" spans="5:30" ht="15">
      <c r="E4181" s="9"/>
      <c r="F4181" s="5"/>
      <c r="G4181" s="5"/>
      <c r="H4181" s="5"/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</row>
    <row r="4182" spans="5:30" ht="15">
      <c r="E4182" s="9"/>
      <c r="F4182" s="5"/>
      <c r="G4182" s="5"/>
      <c r="H4182" s="5"/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</row>
    <row r="4183" spans="5:30" ht="15">
      <c r="E4183" s="9"/>
      <c r="F4183" s="5"/>
      <c r="G4183" s="5"/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</row>
    <row r="4184" spans="5:30" ht="15">
      <c r="E4184" s="9"/>
      <c r="F4184" s="5"/>
      <c r="G4184" s="5"/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</row>
    <row r="4185" spans="5:30" ht="15">
      <c r="E4185" s="9"/>
      <c r="F4185" s="5"/>
      <c r="G4185" s="5"/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</row>
    <row r="4186" spans="5:30" ht="15">
      <c r="E4186" s="9"/>
      <c r="F4186" s="5"/>
      <c r="G4186" s="5"/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</row>
    <row r="4187" spans="5:30" ht="15">
      <c r="E4187" s="9"/>
      <c r="F4187" s="5"/>
      <c r="G4187" s="5"/>
      <c r="H4187" s="5"/>
      <c r="I4187" s="5"/>
      <c r="J4187" s="5"/>
      <c r="K4187" s="5"/>
      <c r="L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</row>
    <row r="4188" spans="5:30" ht="15">
      <c r="E4188" s="9"/>
      <c r="F4188" s="5"/>
      <c r="G4188" s="5"/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</row>
    <row r="4189" spans="5:30" ht="15">
      <c r="E4189" s="9"/>
      <c r="F4189" s="5"/>
      <c r="G4189" s="5"/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</row>
    <row r="4190" spans="5:30" ht="15">
      <c r="E4190" s="9"/>
      <c r="F4190" s="5"/>
      <c r="G4190" s="5"/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</row>
    <row r="4191" spans="5:30" ht="15">
      <c r="E4191" s="9"/>
      <c r="F4191" s="5"/>
      <c r="G4191" s="5"/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</row>
    <row r="4192" spans="5:30" ht="15">
      <c r="E4192" s="9"/>
      <c r="F4192" s="5"/>
      <c r="G4192" s="5"/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</row>
    <row r="4193" spans="5:30" ht="15">
      <c r="E4193" s="9"/>
      <c r="F4193" s="5"/>
      <c r="G4193" s="5"/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</row>
    <row r="4194" spans="5:30" ht="15">
      <c r="E4194" s="9"/>
      <c r="F4194" s="5"/>
      <c r="G4194" s="5"/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</row>
    <row r="4195" spans="5:30" ht="15">
      <c r="E4195" s="9"/>
      <c r="F4195" s="5"/>
      <c r="G4195" s="5"/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</row>
    <row r="4196" spans="5:30" ht="15">
      <c r="E4196" s="9"/>
      <c r="F4196" s="5"/>
      <c r="G4196" s="5"/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</row>
    <row r="4197" spans="5:30" ht="15">
      <c r="E4197" s="9"/>
      <c r="F4197" s="5"/>
      <c r="G4197" s="5"/>
      <c r="H4197" s="5"/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</row>
    <row r="4198" spans="5:30" ht="15">
      <c r="E4198" s="9"/>
      <c r="F4198" s="5"/>
      <c r="G4198" s="5"/>
      <c r="H4198" s="5"/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</row>
    <row r="4199" spans="5:30" ht="15">
      <c r="E4199" s="9"/>
      <c r="F4199" s="5"/>
      <c r="G4199" s="5"/>
      <c r="H4199" s="5"/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</row>
    <row r="4200" spans="5:30" ht="15">
      <c r="E4200" s="9"/>
      <c r="F4200" s="5"/>
      <c r="G4200" s="5"/>
      <c r="H4200" s="5"/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</row>
    <row r="4201" spans="5:30" ht="15">
      <c r="E4201" s="9"/>
      <c r="F4201" s="5"/>
      <c r="G4201" s="5"/>
      <c r="H4201" s="5"/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</row>
    <row r="4202" spans="5:30" ht="15">
      <c r="E4202" s="9"/>
      <c r="F4202" s="5"/>
      <c r="G4202" s="5"/>
      <c r="H4202" s="5"/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</row>
    <row r="4203" spans="5:30" ht="15">
      <c r="E4203" s="9"/>
      <c r="F4203" s="5"/>
      <c r="G4203" s="5"/>
      <c r="H4203" s="5"/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</row>
    <row r="4204" spans="5:30" ht="15">
      <c r="E4204" s="9"/>
      <c r="F4204" s="5"/>
      <c r="G4204" s="5"/>
      <c r="H4204" s="5"/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</row>
    <row r="4205" spans="5:30" ht="15">
      <c r="E4205" s="9"/>
      <c r="F4205" s="5"/>
      <c r="G4205" s="5"/>
      <c r="H4205" s="5"/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</row>
    <row r="4206" spans="5:30" ht="15">
      <c r="E4206" s="9"/>
      <c r="F4206" s="5"/>
      <c r="G4206" s="5"/>
      <c r="H4206" s="5"/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</row>
    <row r="4207" spans="5:30" ht="15">
      <c r="E4207" s="9"/>
      <c r="F4207" s="5"/>
      <c r="G4207" s="5"/>
      <c r="H4207" s="5"/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</row>
    <row r="4208" spans="5:30" ht="15">
      <c r="E4208" s="9"/>
      <c r="F4208" s="5"/>
      <c r="G4208" s="5"/>
      <c r="H4208" s="5"/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</row>
    <row r="4209" spans="5:30" ht="15">
      <c r="E4209" s="9"/>
      <c r="F4209" s="5"/>
      <c r="G4209" s="5"/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</row>
    <row r="4210" spans="5:30" ht="15">
      <c r="E4210" s="9"/>
      <c r="F4210" s="5"/>
      <c r="G4210" s="5"/>
      <c r="H4210" s="5"/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</row>
    <row r="4211" spans="5:30" ht="15">
      <c r="E4211" s="9"/>
      <c r="F4211" s="5"/>
      <c r="G4211" s="5"/>
      <c r="H4211" s="5"/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</row>
    <row r="4212" spans="5:30" ht="15">
      <c r="E4212" s="9"/>
      <c r="F4212" s="5"/>
      <c r="G4212" s="5"/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</row>
    <row r="4213" spans="5:30" ht="15">
      <c r="E4213" s="9"/>
      <c r="F4213" s="5"/>
      <c r="G4213" s="5"/>
      <c r="H4213" s="5"/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</row>
    <row r="4214" spans="5:30" ht="15">
      <c r="E4214" s="9"/>
      <c r="F4214" s="5"/>
      <c r="G4214" s="5"/>
      <c r="H4214" s="5"/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</row>
    <row r="4215" spans="5:30" ht="15">
      <c r="E4215" s="9"/>
      <c r="F4215" s="5"/>
      <c r="G4215" s="5"/>
      <c r="H4215" s="5"/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</row>
    <row r="4216" spans="5:30" ht="15">
      <c r="E4216" s="9"/>
      <c r="F4216" s="5"/>
      <c r="G4216" s="5"/>
      <c r="H4216" s="5"/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</row>
    <row r="4217" spans="5:30" ht="15">
      <c r="E4217" s="9"/>
      <c r="F4217" s="5"/>
      <c r="G4217" s="5"/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</row>
    <row r="4218" spans="5:30" ht="15">
      <c r="E4218" s="9"/>
      <c r="F4218" s="5"/>
      <c r="G4218" s="5"/>
      <c r="H4218" s="5"/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</row>
    <row r="4219" spans="5:30" ht="15">
      <c r="E4219" s="9"/>
      <c r="F4219" s="5"/>
      <c r="G4219" s="5"/>
      <c r="H4219" s="5"/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</row>
    <row r="4220" spans="5:30" ht="15">
      <c r="E4220" s="9"/>
      <c r="F4220" s="5"/>
      <c r="G4220" s="5"/>
      <c r="H4220" s="5"/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</row>
    <row r="4221" spans="5:30" ht="15">
      <c r="E4221" s="9"/>
      <c r="F4221" s="5"/>
      <c r="G4221" s="5"/>
      <c r="H4221" s="5"/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</row>
    <row r="4222" spans="5:30" ht="15">
      <c r="E4222" s="9"/>
      <c r="F4222" s="5"/>
      <c r="G4222" s="5"/>
      <c r="H4222" s="5"/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</row>
    <row r="4223" spans="5:30" ht="15">
      <c r="E4223" s="9"/>
      <c r="F4223" s="5"/>
      <c r="G4223" s="5"/>
      <c r="H4223" s="5"/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</row>
    <row r="4224" spans="5:30" ht="15">
      <c r="E4224" s="9"/>
      <c r="F4224" s="5"/>
      <c r="G4224" s="5"/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</row>
    <row r="4225" spans="5:30" ht="15">
      <c r="E4225" s="9"/>
      <c r="F4225" s="5"/>
      <c r="G4225" s="5"/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</row>
    <row r="4226" spans="5:30" ht="15">
      <c r="E4226" s="9"/>
      <c r="F4226" s="5"/>
      <c r="G4226" s="5"/>
      <c r="H4226" s="5"/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</row>
    <row r="4227" spans="5:30" ht="15">
      <c r="E4227" s="9"/>
      <c r="F4227" s="5"/>
      <c r="G4227" s="5"/>
      <c r="H4227" s="5"/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</row>
    <row r="4228" spans="5:30" ht="15">
      <c r="E4228" s="9"/>
      <c r="F4228" s="5"/>
      <c r="G4228" s="5"/>
      <c r="H4228" s="5"/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</row>
    <row r="4229" spans="5:30" ht="15">
      <c r="E4229" s="9"/>
      <c r="F4229" s="5"/>
      <c r="G4229" s="5"/>
      <c r="H4229" s="5"/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</row>
    <row r="4230" spans="5:30" ht="15">
      <c r="E4230" s="9"/>
      <c r="F4230" s="5"/>
      <c r="G4230" s="5"/>
      <c r="H4230" s="5"/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</row>
    <row r="4231" spans="5:30" ht="15">
      <c r="E4231" s="9"/>
      <c r="F4231" s="5"/>
      <c r="G4231" s="5"/>
      <c r="H4231" s="5"/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</row>
    <row r="4232" spans="5:30" ht="15">
      <c r="E4232" s="9"/>
      <c r="F4232" s="5"/>
      <c r="G4232" s="5"/>
      <c r="H4232" s="5"/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</row>
    <row r="4233" spans="5:30" ht="15">
      <c r="E4233" s="9"/>
      <c r="F4233" s="5"/>
      <c r="G4233" s="5"/>
      <c r="H4233" s="5"/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</row>
    <row r="4234" spans="5:30" ht="15">
      <c r="E4234" s="9"/>
      <c r="F4234" s="5"/>
      <c r="G4234" s="5"/>
      <c r="H4234" s="5"/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</row>
    <row r="4235" spans="5:30" ht="15">
      <c r="E4235" s="9"/>
      <c r="F4235" s="5"/>
      <c r="G4235" s="5"/>
      <c r="H4235" s="5"/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</row>
    <row r="4236" spans="5:30" ht="15">
      <c r="E4236" s="9"/>
      <c r="F4236" s="5"/>
      <c r="G4236" s="5"/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</row>
    <row r="4237" spans="5:30" ht="15">
      <c r="E4237" s="9"/>
      <c r="F4237" s="5"/>
      <c r="G4237" s="5"/>
      <c r="H4237" s="5"/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</row>
    <row r="4238" spans="5:30" ht="15">
      <c r="E4238" s="9"/>
      <c r="F4238" s="5"/>
      <c r="G4238" s="5"/>
      <c r="H4238" s="5"/>
      <c r="I4238" s="5"/>
      <c r="J4238" s="5"/>
      <c r="K4238" s="5"/>
      <c r="L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</row>
    <row r="4239" spans="5:30" ht="15">
      <c r="E4239" s="9"/>
      <c r="F4239" s="5"/>
      <c r="G4239" s="5"/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</row>
    <row r="4240" spans="5:30" ht="15">
      <c r="E4240" s="9"/>
      <c r="F4240" s="5"/>
      <c r="G4240" s="5"/>
      <c r="H4240" s="5"/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</row>
    <row r="4241" spans="5:30" ht="15">
      <c r="E4241" s="9"/>
      <c r="F4241" s="5"/>
      <c r="G4241" s="5"/>
      <c r="H4241" s="5"/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</row>
    <row r="4242" spans="5:30" ht="15">
      <c r="E4242" s="9"/>
      <c r="F4242" s="5"/>
      <c r="G4242" s="5"/>
      <c r="H4242" s="5"/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</row>
    <row r="4243" spans="5:30" ht="15">
      <c r="E4243" s="9"/>
      <c r="F4243" s="5"/>
      <c r="G4243" s="5"/>
      <c r="H4243" s="5"/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</row>
    <row r="4244" spans="5:30" ht="15">
      <c r="E4244" s="9"/>
      <c r="F4244" s="5"/>
      <c r="G4244" s="5"/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</row>
    <row r="4245" spans="5:30" ht="15">
      <c r="E4245" s="9"/>
      <c r="F4245" s="5"/>
      <c r="G4245" s="5"/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</row>
    <row r="4246" spans="5:30" ht="15">
      <c r="E4246" s="9"/>
      <c r="F4246" s="5"/>
      <c r="G4246" s="5"/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</row>
    <row r="4247" spans="5:30" ht="15">
      <c r="E4247" s="9"/>
      <c r="F4247" s="5"/>
      <c r="G4247" s="5"/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</row>
    <row r="4248" spans="5:30" ht="15">
      <c r="E4248" s="9"/>
      <c r="F4248" s="5"/>
      <c r="G4248" s="5"/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</row>
    <row r="4249" spans="5:30" ht="15">
      <c r="E4249" s="9"/>
      <c r="F4249" s="5"/>
      <c r="G4249" s="5"/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</row>
    <row r="4250" spans="5:30" ht="15">
      <c r="E4250" s="9"/>
      <c r="F4250" s="5"/>
      <c r="G4250" s="5"/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</row>
    <row r="4251" spans="5:30" ht="15">
      <c r="E4251" s="9"/>
      <c r="F4251" s="5"/>
      <c r="G4251" s="5"/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</row>
    <row r="4252" spans="5:30" ht="15">
      <c r="E4252" s="9"/>
      <c r="F4252" s="5"/>
      <c r="G4252" s="5"/>
      <c r="H4252" s="5"/>
      <c r="I4252" s="5"/>
      <c r="J4252" s="5"/>
      <c r="K4252" s="5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</row>
    <row r="4253" spans="5:30" ht="15">
      <c r="E4253" s="9"/>
      <c r="F4253" s="5"/>
      <c r="G4253" s="5"/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</row>
    <row r="4254" spans="5:30" ht="15">
      <c r="E4254" s="9"/>
      <c r="F4254" s="5"/>
      <c r="G4254" s="5"/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</row>
    <row r="4255" spans="5:30" ht="15">
      <c r="E4255" s="9"/>
      <c r="F4255" s="5"/>
      <c r="G4255" s="5"/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</row>
    <row r="4256" spans="5:30" ht="15">
      <c r="E4256" s="9"/>
      <c r="F4256" s="5"/>
      <c r="G4256" s="5"/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</row>
    <row r="4257" spans="5:30" ht="15">
      <c r="E4257" s="9"/>
      <c r="F4257" s="5"/>
      <c r="G4257" s="5"/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</row>
    <row r="4258" spans="5:30" ht="15">
      <c r="E4258" s="9"/>
      <c r="F4258" s="5"/>
      <c r="G4258" s="5"/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</row>
    <row r="4259" spans="5:30" ht="15">
      <c r="E4259" s="9"/>
      <c r="F4259" s="5"/>
      <c r="G4259" s="5"/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</row>
    <row r="4260" spans="5:30" ht="15">
      <c r="E4260" s="9"/>
      <c r="F4260" s="5"/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</row>
    <row r="4261" spans="5:30" ht="15">
      <c r="E4261" s="9"/>
      <c r="F4261" s="5"/>
      <c r="G4261" s="5"/>
      <c r="H4261" s="5"/>
      <c r="I4261" s="5"/>
      <c r="J4261" s="5"/>
      <c r="K4261" s="5"/>
      <c r="L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</row>
    <row r="4262" spans="5:30" ht="15">
      <c r="E4262" s="9"/>
      <c r="F4262" s="5"/>
      <c r="G4262" s="5"/>
      <c r="H4262" s="5"/>
      <c r="I4262" s="5"/>
      <c r="J4262" s="5"/>
      <c r="K4262" s="5"/>
      <c r="L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</row>
    <row r="4263" spans="5:30" ht="15">
      <c r="E4263" s="9"/>
      <c r="F4263" s="5"/>
      <c r="G4263" s="5"/>
      <c r="H4263" s="5"/>
      <c r="I4263" s="5"/>
      <c r="J4263" s="5"/>
      <c r="K4263" s="5"/>
      <c r="L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</row>
    <row r="4264" spans="5:30" ht="15">
      <c r="E4264" s="9"/>
      <c r="F4264" s="5"/>
      <c r="G4264" s="5"/>
      <c r="H4264" s="5"/>
      <c r="I4264" s="5"/>
      <c r="J4264" s="5"/>
      <c r="K4264" s="5"/>
      <c r="L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</row>
    <row r="4265" spans="5:30" ht="15">
      <c r="E4265" s="9"/>
      <c r="F4265" s="5"/>
      <c r="G4265" s="5"/>
      <c r="H4265" s="5"/>
      <c r="I4265" s="5"/>
      <c r="J4265" s="5"/>
      <c r="K4265" s="5"/>
      <c r="L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</row>
    <row r="4266" spans="5:30" ht="15">
      <c r="E4266" s="9"/>
      <c r="F4266" s="5"/>
      <c r="G4266" s="5"/>
      <c r="H4266" s="5"/>
      <c r="I4266" s="5"/>
      <c r="J4266" s="5"/>
      <c r="K4266" s="5"/>
      <c r="L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</row>
    <row r="4267" spans="5:30" ht="15">
      <c r="E4267" s="9"/>
      <c r="F4267" s="5"/>
      <c r="G4267" s="5"/>
      <c r="H4267" s="5"/>
      <c r="I4267" s="5"/>
      <c r="J4267" s="5"/>
      <c r="K4267" s="5"/>
      <c r="L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</row>
    <row r="4268" spans="5:30" ht="15">
      <c r="E4268" s="9"/>
      <c r="F4268" s="5"/>
      <c r="G4268" s="5"/>
      <c r="H4268" s="5"/>
      <c r="I4268" s="5"/>
      <c r="J4268" s="5"/>
      <c r="K4268" s="5"/>
      <c r="L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</row>
    <row r="4269" spans="5:30" ht="15">
      <c r="E4269" s="9"/>
      <c r="F4269" s="5"/>
      <c r="G4269" s="5"/>
      <c r="H4269" s="5"/>
      <c r="I4269" s="5"/>
      <c r="J4269" s="5"/>
      <c r="K4269" s="5"/>
      <c r="L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</row>
    <row r="4270" spans="5:30" ht="15">
      <c r="E4270" s="9"/>
      <c r="F4270" s="5"/>
      <c r="G4270" s="5"/>
      <c r="H4270" s="5"/>
      <c r="I4270" s="5"/>
      <c r="J4270" s="5"/>
      <c r="K4270" s="5"/>
      <c r="L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</row>
    <row r="4271" spans="5:30" ht="15">
      <c r="E4271" s="9"/>
      <c r="F4271" s="5"/>
      <c r="G4271" s="5"/>
      <c r="H4271" s="5"/>
      <c r="I4271" s="5"/>
      <c r="J4271" s="5"/>
      <c r="K4271" s="5"/>
      <c r="L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</row>
    <row r="4272" spans="5:30" ht="15">
      <c r="E4272" s="9"/>
      <c r="F4272" s="5"/>
      <c r="G4272" s="5"/>
      <c r="H4272" s="5"/>
      <c r="I4272" s="5"/>
      <c r="J4272" s="5"/>
      <c r="K4272" s="5"/>
      <c r="L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</row>
    <row r="4273" spans="5:30" ht="15">
      <c r="E4273" s="9"/>
      <c r="F4273" s="5"/>
      <c r="G4273" s="5"/>
      <c r="H4273" s="5"/>
      <c r="I4273" s="5"/>
      <c r="J4273" s="5"/>
      <c r="K4273" s="5"/>
      <c r="L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</row>
    <row r="4274" spans="5:30" ht="15">
      <c r="E4274" s="9"/>
      <c r="F4274" s="5"/>
      <c r="G4274" s="5"/>
      <c r="H4274" s="5"/>
      <c r="I4274" s="5"/>
      <c r="J4274" s="5"/>
      <c r="K4274" s="5"/>
      <c r="L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</row>
    <row r="4275" spans="5:30" ht="15">
      <c r="E4275" s="9"/>
      <c r="F4275" s="5"/>
      <c r="G4275" s="5"/>
      <c r="H4275" s="5"/>
      <c r="I4275" s="5"/>
      <c r="J4275" s="5"/>
      <c r="K4275" s="5"/>
      <c r="L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</row>
    <row r="4276" spans="5:30" ht="15">
      <c r="E4276" s="9"/>
      <c r="F4276" s="5"/>
      <c r="G4276" s="5"/>
      <c r="H4276" s="5"/>
      <c r="I4276" s="5"/>
      <c r="J4276" s="5"/>
      <c r="K4276" s="5"/>
      <c r="L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</row>
    <row r="4277" spans="5:30" ht="15">
      <c r="E4277" s="9"/>
      <c r="F4277" s="5"/>
      <c r="G4277" s="5"/>
      <c r="H4277" s="5"/>
      <c r="I4277" s="5"/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</row>
    <row r="4278" spans="5:30" ht="15">
      <c r="E4278" s="9"/>
      <c r="F4278" s="5"/>
      <c r="G4278" s="5"/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</row>
    <row r="4279" spans="5:30" ht="15">
      <c r="E4279" s="9"/>
      <c r="F4279" s="5"/>
      <c r="G4279" s="5"/>
      <c r="H4279" s="5"/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</row>
    <row r="4280" spans="5:30" ht="15">
      <c r="E4280" s="9"/>
      <c r="F4280" s="5"/>
      <c r="G4280" s="5"/>
      <c r="H4280" s="5"/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</row>
    <row r="4281" spans="5:30" ht="15">
      <c r="E4281" s="9"/>
      <c r="F4281" s="5"/>
      <c r="G4281" s="5"/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</row>
    <row r="4282" spans="5:30" ht="15">
      <c r="E4282" s="9"/>
      <c r="F4282" s="5"/>
      <c r="G4282" s="5"/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</row>
    <row r="4283" spans="5:30" ht="15">
      <c r="E4283" s="9"/>
      <c r="F4283" s="5"/>
      <c r="G4283" s="5"/>
      <c r="H4283" s="5"/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</row>
    <row r="4284" spans="5:30" ht="15">
      <c r="E4284" s="9"/>
      <c r="F4284" s="5"/>
      <c r="G4284" s="5"/>
      <c r="H4284" s="5"/>
      <c r="I4284" s="5"/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</row>
    <row r="4285" spans="5:30" ht="15">
      <c r="E4285" s="9"/>
      <c r="F4285" s="5"/>
      <c r="G4285" s="5"/>
      <c r="H4285" s="5"/>
      <c r="I4285" s="5"/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</row>
    <row r="4286" spans="5:30" ht="15">
      <c r="E4286" s="9"/>
      <c r="F4286" s="5"/>
      <c r="G4286" s="5"/>
      <c r="H4286" s="5"/>
      <c r="I4286" s="5"/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</row>
    <row r="4287" spans="5:30" ht="15">
      <c r="E4287" s="9"/>
      <c r="F4287" s="5"/>
      <c r="G4287" s="5"/>
      <c r="H4287" s="5"/>
      <c r="I4287" s="5"/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</row>
    <row r="4288" spans="5:30" ht="15">
      <c r="E4288" s="9"/>
      <c r="F4288" s="5"/>
      <c r="G4288" s="5"/>
      <c r="H4288" s="5"/>
      <c r="I4288" s="5"/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</row>
    <row r="4289" spans="5:30" ht="15">
      <c r="E4289" s="9"/>
      <c r="F4289" s="5"/>
      <c r="G4289" s="5"/>
      <c r="H4289" s="5"/>
      <c r="I4289" s="5"/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</row>
    <row r="4290" spans="5:30" ht="15">
      <c r="E4290" s="9"/>
      <c r="F4290" s="5"/>
      <c r="G4290" s="5"/>
      <c r="H4290" s="5"/>
      <c r="I4290" s="5"/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</row>
    <row r="4291" spans="5:30" ht="15">
      <c r="E4291" s="9"/>
      <c r="F4291" s="5"/>
      <c r="G4291" s="5"/>
      <c r="H4291" s="5"/>
      <c r="I4291" s="5"/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</row>
    <row r="4292" spans="5:30" ht="15">
      <c r="E4292" s="9"/>
      <c r="F4292" s="5"/>
      <c r="G4292" s="5"/>
      <c r="H4292" s="5"/>
      <c r="I4292" s="5"/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</row>
    <row r="4293" spans="5:30" ht="15">
      <c r="E4293" s="9"/>
      <c r="F4293" s="5"/>
      <c r="G4293" s="5"/>
      <c r="H4293" s="5"/>
      <c r="I4293" s="5"/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</row>
    <row r="4294" spans="5:30" ht="15">
      <c r="E4294" s="9"/>
      <c r="F4294" s="5"/>
      <c r="G4294" s="5"/>
      <c r="H4294" s="5"/>
      <c r="I4294" s="5"/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</row>
    <row r="4295" spans="5:30" ht="15">
      <c r="E4295" s="9"/>
      <c r="F4295" s="5"/>
      <c r="G4295" s="5"/>
      <c r="H4295" s="5"/>
      <c r="I4295" s="5"/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</row>
    <row r="4296" spans="5:30" ht="15">
      <c r="E4296" s="9"/>
      <c r="F4296" s="5"/>
      <c r="G4296" s="5"/>
      <c r="H4296" s="5"/>
      <c r="I4296" s="5"/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</row>
    <row r="4297" spans="5:30" ht="15">
      <c r="E4297" s="9"/>
      <c r="F4297" s="5"/>
      <c r="G4297" s="5"/>
      <c r="H4297" s="5"/>
      <c r="I4297" s="5"/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</row>
    <row r="4298" spans="5:30" ht="15">
      <c r="E4298" s="9"/>
      <c r="F4298" s="5"/>
      <c r="G4298" s="5"/>
      <c r="H4298" s="5"/>
      <c r="I4298" s="5"/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</row>
    <row r="4299" spans="5:30" ht="15">
      <c r="E4299" s="9"/>
      <c r="F4299" s="5"/>
      <c r="G4299" s="5"/>
      <c r="H4299" s="5"/>
      <c r="I4299" s="5"/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</row>
    <row r="4300" spans="5:30" ht="15">
      <c r="E4300" s="9"/>
      <c r="F4300" s="5"/>
      <c r="G4300" s="5"/>
      <c r="H4300" s="5"/>
      <c r="I4300" s="5"/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</row>
    <row r="4301" spans="5:30" ht="15">
      <c r="E4301" s="9"/>
      <c r="F4301" s="5"/>
      <c r="G4301" s="5"/>
      <c r="H4301" s="5"/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</row>
    <row r="4302" spans="5:30" ht="15">
      <c r="E4302" s="9"/>
      <c r="F4302" s="5"/>
      <c r="G4302" s="5"/>
      <c r="H4302" s="5"/>
      <c r="I4302" s="5"/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</row>
    <row r="4303" spans="5:30" ht="15">
      <c r="E4303" s="9"/>
      <c r="F4303" s="5"/>
      <c r="G4303" s="5"/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</row>
    <row r="4304" spans="5:30" ht="15">
      <c r="E4304" s="9"/>
      <c r="F4304" s="5"/>
      <c r="G4304" s="5"/>
      <c r="H4304" s="5"/>
      <c r="I4304" s="5"/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</row>
    <row r="4305" spans="5:30" ht="15">
      <c r="E4305" s="9"/>
      <c r="F4305" s="5"/>
      <c r="G4305" s="5"/>
      <c r="H4305" s="5"/>
      <c r="I4305" s="5"/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</row>
    <row r="4306" spans="5:30" ht="15">
      <c r="E4306" s="9"/>
      <c r="F4306" s="5"/>
      <c r="G4306" s="5"/>
      <c r="H4306" s="5"/>
      <c r="I4306" s="5"/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</row>
    <row r="4307" spans="5:30" ht="15">
      <c r="E4307" s="9"/>
      <c r="F4307" s="5"/>
      <c r="G4307" s="5"/>
      <c r="H4307" s="5"/>
      <c r="I4307" s="5"/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</row>
    <row r="4308" spans="5:30" ht="15">
      <c r="E4308" s="9"/>
      <c r="F4308" s="5"/>
      <c r="G4308" s="5"/>
      <c r="H4308" s="5"/>
      <c r="I4308" s="5"/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</row>
    <row r="4309" spans="5:30" ht="15">
      <c r="E4309" s="9"/>
      <c r="F4309" s="5"/>
      <c r="G4309" s="5"/>
      <c r="H4309" s="5"/>
      <c r="I4309" s="5"/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</row>
    <row r="4310" spans="5:30" ht="15">
      <c r="E4310" s="9"/>
      <c r="F4310" s="5"/>
      <c r="G4310" s="5"/>
      <c r="H4310" s="5"/>
      <c r="I4310" s="5"/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</row>
    <row r="4311" spans="5:30" ht="15">
      <c r="E4311" s="9"/>
      <c r="F4311" s="5"/>
      <c r="G4311" s="5"/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</row>
    <row r="4312" spans="5:30" ht="15">
      <c r="E4312" s="9"/>
      <c r="F4312" s="5"/>
      <c r="G4312" s="5"/>
      <c r="H4312" s="5"/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</row>
    <row r="4313" spans="5:30" ht="15">
      <c r="E4313" s="9"/>
      <c r="F4313" s="5"/>
      <c r="G4313" s="5"/>
      <c r="H4313" s="5"/>
      <c r="I4313" s="5"/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</row>
    <row r="4314" spans="5:30" ht="15">
      <c r="E4314" s="9"/>
      <c r="F4314" s="5"/>
      <c r="G4314" s="5"/>
      <c r="H4314" s="5"/>
      <c r="I4314" s="5"/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</row>
    <row r="4315" spans="5:30" ht="15">
      <c r="E4315" s="9"/>
      <c r="F4315" s="5"/>
      <c r="G4315" s="5"/>
      <c r="H4315" s="5"/>
      <c r="I4315" s="5"/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</row>
    <row r="4316" spans="5:30" ht="15">
      <c r="E4316" s="9"/>
      <c r="F4316" s="5"/>
      <c r="G4316" s="5"/>
      <c r="H4316" s="5"/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</row>
    <row r="4317" spans="5:30" ht="15">
      <c r="E4317" s="9"/>
      <c r="F4317" s="5"/>
      <c r="G4317" s="5"/>
      <c r="H4317" s="5"/>
      <c r="I4317" s="5"/>
      <c r="J4317" s="5"/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</row>
    <row r="4318" spans="5:30" ht="15">
      <c r="E4318" s="9"/>
      <c r="F4318" s="5"/>
      <c r="G4318" s="5"/>
      <c r="H4318" s="5"/>
      <c r="I4318" s="5"/>
      <c r="J4318" s="5"/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</row>
    <row r="4319" spans="5:30" ht="15">
      <c r="E4319" s="9"/>
      <c r="F4319" s="5"/>
      <c r="G4319" s="5"/>
      <c r="H4319" s="5"/>
      <c r="I4319" s="5"/>
      <c r="J4319" s="5"/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</row>
    <row r="4320" spans="5:30" ht="15">
      <c r="E4320" s="9"/>
      <c r="F4320" s="5"/>
      <c r="G4320" s="5"/>
      <c r="H4320" s="5"/>
      <c r="I4320" s="5"/>
      <c r="J4320" s="5"/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</row>
    <row r="4321" spans="5:30" ht="15">
      <c r="E4321" s="9"/>
      <c r="F4321" s="5"/>
      <c r="G4321" s="5"/>
      <c r="H4321" s="5"/>
      <c r="I4321" s="5"/>
      <c r="J4321" s="5"/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</row>
    <row r="4322" spans="5:30" ht="15">
      <c r="E4322" s="9"/>
      <c r="F4322" s="5"/>
      <c r="G4322" s="5"/>
      <c r="H4322" s="5"/>
      <c r="I4322" s="5"/>
      <c r="J4322" s="5"/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</row>
    <row r="4323" spans="5:30" ht="15">
      <c r="E4323" s="9"/>
      <c r="F4323" s="5"/>
      <c r="G4323" s="5"/>
      <c r="H4323" s="5"/>
      <c r="I4323" s="5"/>
      <c r="J4323" s="5"/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</row>
    <row r="4324" spans="5:30" ht="15">
      <c r="E4324" s="9"/>
      <c r="F4324" s="5"/>
      <c r="G4324" s="5"/>
      <c r="H4324" s="5"/>
      <c r="I4324" s="5"/>
      <c r="J4324" s="5"/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</row>
    <row r="4325" spans="5:30" ht="15">
      <c r="E4325" s="9"/>
      <c r="F4325" s="5"/>
      <c r="G4325" s="5"/>
      <c r="H4325" s="5"/>
      <c r="I4325" s="5"/>
      <c r="J4325" s="5"/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</row>
    <row r="4326" spans="5:30" ht="15">
      <c r="E4326" s="9"/>
      <c r="F4326" s="5"/>
      <c r="G4326" s="5"/>
      <c r="H4326" s="5"/>
      <c r="I4326" s="5"/>
      <c r="J4326" s="5"/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</row>
    <row r="4327" spans="5:30" ht="15">
      <c r="E4327" s="9"/>
      <c r="F4327" s="5"/>
      <c r="G4327" s="5"/>
      <c r="H4327" s="5"/>
      <c r="I4327" s="5"/>
      <c r="J4327" s="5"/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</row>
    <row r="4328" spans="5:30" ht="15">
      <c r="E4328" s="9"/>
      <c r="F4328" s="5"/>
      <c r="G4328" s="5"/>
      <c r="H4328" s="5"/>
      <c r="I4328" s="5"/>
      <c r="J4328" s="5"/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</row>
    <row r="4329" spans="5:30" ht="15">
      <c r="E4329" s="9"/>
      <c r="F4329" s="5"/>
      <c r="G4329" s="5"/>
      <c r="H4329" s="5"/>
      <c r="I4329" s="5"/>
      <c r="J4329" s="5"/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</row>
    <row r="4330" spans="5:30" ht="15">
      <c r="E4330" s="9"/>
      <c r="F4330" s="5"/>
      <c r="G4330" s="5"/>
      <c r="H4330" s="5"/>
      <c r="I4330" s="5"/>
      <c r="J4330" s="5"/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</row>
    <row r="4331" spans="5:30" ht="15">
      <c r="E4331" s="9"/>
      <c r="F4331" s="5"/>
      <c r="G4331" s="5"/>
      <c r="H4331" s="5"/>
      <c r="I4331" s="5"/>
      <c r="J4331" s="5"/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</row>
    <row r="4332" spans="5:30" ht="15">
      <c r="E4332" s="9"/>
      <c r="F4332" s="5"/>
      <c r="G4332" s="5"/>
      <c r="H4332" s="5"/>
      <c r="I4332" s="5"/>
      <c r="J4332" s="5"/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</row>
    <row r="4333" spans="5:30" ht="15">
      <c r="E4333" s="9"/>
      <c r="F4333" s="5"/>
      <c r="G4333" s="5"/>
      <c r="H4333" s="5"/>
      <c r="I4333" s="5"/>
      <c r="J4333" s="5"/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</row>
    <row r="4334" spans="5:30" ht="15">
      <c r="E4334" s="9"/>
      <c r="F4334" s="5"/>
      <c r="G4334" s="5"/>
      <c r="H4334" s="5"/>
      <c r="I4334" s="5"/>
      <c r="J4334" s="5"/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</row>
    <row r="4335" spans="5:30" ht="15">
      <c r="E4335" s="9"/>
      <c r="F4335" s="5"/>
      <c r="G4335" s="5"/>
      <c r="H4335" s="5"/>
      <c r="I4335" s="5"/>
      <c r="J4335" s="5"/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</row>
    <row r="4336" spans="5:30" ht="15">
      <c r="E4336" s="9"/>
      <c r="F4336" s="5"/>
      <c r="G4336" s="5"/>
      <c r="H4336" s="5"/>
      <c r="I4336" s="5"/>
      <c r="J4336" s="5"/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</row>
    <row r="4337" spans="5:30" ht="15">
      <c r="E4337" s="9"/>
      <c r="F4337" s="5"/>
      <c r="G4337" s="5"/>
      <c r="H4337" s="5"/>
      <c r="I4337" s="5"/>
      <c r="J4337" s="5"/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</row>
    <row r="4338" spans="5:30" ht="15">
      <c r="E4338" s="9"/>
      <c r="F4338" s="5"/>
      <c r="G4338" s="5"/>
      <c r="H4338" s="5"/>
      <c r="I4338" s="5"/>
      <c r="J4338" s="5"/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</row>
    <row r="4339" spans="5:30" ht="15">
      <c r="E4339" s="9"/>
      <c r="F4339" s="5"/>
      <c r="G4339" s="5"/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</row>
    <row r="4340" spans="5:30" ht="15">
      <c r="E4340" s="9"/>
      <c r="F4340" s="5"/>
      <c r="G4340" s="5"/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</row>
    <row r="4341" spans="5:30" ht="15">
      <c r="E4341" s="9"/>
      <c r="F4341" s="5"/>
      <c r="G4341" s="5"/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</row>
    <row r="4342" spans="5:30" ht="15">
      <c r="E4342" s="9"/>
      <c r="F4342" s="5"/>
      <c r="G4342" s="5"/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</row>
    <row r="4343" spans="5:30" ht="15">
      <c r="E4343" s="9"/>
      <c r="F4343" s="5"/>
      <c r="G4343" s="5"/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</row>
    <row r="4344" spans="5:30" ht="15">
      <c r="E4344" s="9"/>
      <c r="F4344" s="5"/>
      <c r="G4344" s="5"/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</row>
    <row r="4345" spans="5:30" ht="15">
      <c r="E4345" s="9"/>
      <c r="F4345" s="5"/>
      <c r="G4345" s="5"/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</row>
    <row r="4346" spans="5:30" ht="15">
      <c r="E4346" s="9"/>
      <c r="F4346" s="5"/>
      <c r="G4346" s="5"/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</row>
    <row r="4347" spans="5:30" ht="15">
      <c r="E4347" s="9"/>
      <c r="F4347" s="5"/>
      <c r="G4347" s="5"/>
      <c r="H4347" s="5"/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</row>
    <row r="4348" spans="5:30" ht="15">
      <c r="E4348" s="9"/>
      <c r="F4348" s="5"/>
      <c r="G4348" s="5"/>
      <c r="H4348" s="5"/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</row>
    <row r="4349" spans="5:30" ht="15">
      <c r="E4349" s="9"/>
      <c r="F4349" s="5"/>
      <c r="G4349" s="5"/>
      <c r="H4349" s="5"/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</row>
    <row r="4350" spans="5:30" ht="15">
      <c r="E4350" s="9"/>
      <c r="F4350" s="5"/>
      <c r="G4350" s="5"/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</row>
    <row r="4351" spans="5:30" ht="15">
      <c r="E4351" s="9"/>
      <c r="F4351" s="5"/>
      <c r="G4351" s="5"/>
      <c r="H4351" s="5"/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</row>
    <row r="4352" spans="5:30" ht="15">
      <c r="E4352" s="9"/>
      <c r="F4352" s="5"/>
      <c r="G4352" s="5"/>
      <c r="H4352" s="5"/>
      <c r="I4352" s="5"/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</row>
    <row r="4353" spans="5:30" ht="15">
      <c r="E4353" s="9"/>
      <c r="F4353" s="5"/>
      <c r="G4353" s="5"/>
      <c r="H4353" s="5"/>
      <c r="I4353" s="5"/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</row>
    <row r="4354" spans="5:30" ht="15">
      <c r="E4354" s="9"/>
      <c r="F4354" s="5"/>
      <c r="G4354" s="5"/>
      <c r="H4354" s="5"/>
      <c r="I4354" s="5"/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</row>
    <row r="4355" spans="5:30" ht="15">
      <c r="E4355" s="9"/>
      <c r="F4355" s="5"/>
      <c r="G4355" s="5"/>
      <c r="H4355" s="5"/>
      <c r="I4355" s="5"/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</row>
    <row r="4356" spans="5:30" ht="15">
      <c r="E4356" s="9"/>
      <c r="F4356" s="5"/>
      <c r="G4356" s="5"/>
      <c r="H4356" s="5"/>
      <c r="I4356" s="5"/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</row>
    <row r="4357" spans="5:30" ht="15">
      <c r="E4357" s="9"/>
      <c r="F4357" s="5"/>
      <c r="G4357" s="5"/>
      <c r="H4357" s="5"/>
      <c r="I4357" s="5"/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</row>
    <row r="4358" spans="5:30" ht="15">
      <c r="E4358" s="9"/>
      <c r="F4358" s="5"/>
      <c r="G4358" s="5"/>
      <c r="H4358" s="5"/>
      <c r="I4358" s="5"/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</row>
    <row r="4359" spans="5:30" ht="15">
      <c r="E4359" s="9"/>
      <c r="F4359" s="5"/>
      <c r="G4359" s="5"/>
      <c r="H4359" s="5"/>
      <c r="I4359" s="5"/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</row>
    <row r="4360" spans="5:30" ht="15">
      <c r="E4360" s="9"/>
      <c r="F4360" s="5"/>
      <c r="G4360" s="5"/>
      <c r="H4360" s="5"/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</row>
    <row r="4361" spans="5:30" ht="15">
      <c r="E4361" s="9"/>
      <c r="F4361" s="5"/>
      <c r="G4361" s="5"/>
      <c r="H4361" s="5"/>
      <c r="I4361" s="5"/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</row>
    <row r="4362" spans="5:30" ht="15">
      <c r="E4362" s="9"/>
      <c r="F4362" s="5"/>
      <c r="G4362" s="5"/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</row>
    <row r="4363" spans="5:30" ht="15">
      <c r="E4363" s="9"/>
      <c r="F4363" s="5"/>
      <c r="G4363" s="5"/>
      <c r="H4363" s="5"/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</row>
    <row r="4364" spans="5:30" ht="15">
      <c r="E4364" s="9"/>
      <c r="F4364" s="5"/>
      <c r="G4364" s="5"/>
      <c r="H4364" s="5"/>
      <c r="I4364" s="5"/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</row>
    <row r="4365" spans="5:30" ht="15">
      <c r="E4365" s="9"/>
      <c r="F4365" s="5"/>
      <c r="G4365" s="5"/>
      <c r="H4365" s="5"/>
      <c r="I4365" s="5"/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</row>
    <row r="4366" spans="5:30" ht="15">
      <c r="E4366" s="9"/>
      <c r="F4366" s="5"/>
      <c r="G4366" s="5"/>
      <c r="H4366" s="5"/>
      <c r="I4366" s="5"/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</row>
    <row r="4367" spans="5:30" ht="15">
      <c r="E4367" s="9"/>
      <c r="F4367" s="5"/>
      <c r="G4367" s="5"/>
      <c r="H4367" s="5"/>
      <c r="I4367" s="5"/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</row>
    <row r="4368" spans="5:30" ht="15">
      <c r="E4368" s="9"/>
      <c r="F4368" s="5"/>
      <c r="G4368" s="5"/>
      <c r="H4368" s="5"/>
      <c r="I4368" s="5"/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</row>
    <row r="4369" spans="5:30" ht="15">
      <c r="E4369" s="9"/>
      <c r="F4369" s="5"/>
      <c r="G4369" s="5"/>
      <c r="H4369" s="5"/>
      <c r="I4369" s="5"/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</row>
    <row r="4370" spans="5:30" ht="15">
      <c r="E4370" s="9"/>
      <c r="F4370" s="5"/>
      <c r="G4370" s="5"/>
      <c r="H4370" s="5"/>
      <c r="I4370" s="5"/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</row>
    <row r="4371" spans="5:30" ht="15">
      <c r="E4371" s="9"/>
      <c r="F4371" s="5"/>
      <c r="G4371" s="5"/>
      <c r="H4371" s="5"/>
      <c r="I4371" s="5"/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</row>
    <row r="4372" spans="5:30" ht="15">
      <c r="E4372" s="9"/>
      <c r="F4372" s="5"/>
      <c r="G4372" s="5"/>
      <c r="H4372" s="5"/>
      <c r="I4372" s="5"/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</row>
    <row r="4373" spans="5:30" ht="15">
      <c r="E4373" s="9"/>
      <c r="F4373" s="5"/>
      <c r="G4373" s="5"/>
      <c r="H4373" s="5"/>
      <c r="I4373" s="5"/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</row>
    <row r="4374" spans="5:30" ht="15">
      <c r="E4374" s="9"/>
      <c r="F4374" s="5"/>
      <c r="G4374" s="5"/>
      <c r="H4374" s="5"/>
      <c r="I4374" s="5"/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</row>
    <row r="4375" spans="5:30" ht="15">
      <c r="E4375" s="9"/>
      <c r="F4375" s="5"/>
      <c r="G4375" s="5"/>
      <c r="H4375" s="5"/>
      <c r="I4375" s="5"/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</row>
    <row r="4376" spans="5:30" ht="15">
      <c r="E4376" s="9"/>
      <c r="F4376" s="5"/>
      <c r="G4376" s="5"/>
      <c r="H4376" s="5"/>
      <c r="I4376" s="5"/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</row>
    <row r="4377" spans="5:30" ht="15">
      <c r="E4377" s="9"/>
      <c r="F4377" s="5"/>
      <c r="G4377" s="5"/>
      <c r="H4377" s="5"/>
      <c r="I4377" s="5"/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</row>
    <row r="4378" spans="5:30" ht="15">
      <c r="E4378" s="9"/>
      <c r="F4378" s="5"/>
      <c r="G4378" s="5"/>
      <c r="H4378" s="5"/>
      <c r="I4378" s="5"/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</row>
    <row r="4379" spans="5:30" ht="15">
      <c r="E4379" s="9"/>
      <c r="F4379" s="5"/>
      <c r="G4379" s="5"/>
      <c r="H4379" s="5"/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</row>
    <row r="4380" spans="5:30" ht="15">
      <c r="E4380" s="9"/>
      <c r="F4380" s="5"/>
      <c r="G4380" s="5"/>
      <c r="H4380" s="5"/>
      <c r="I4380" s="5"/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</row>
    <row r="4381" spans="5:30" ht="15">
      <c r="E4381" s="9"/>
      <c r="F4381" s="5"/>
      <c r="G4381" s="5"/>
      <c r="H4381" s="5"/>
      <c r="I4381" s="5"/>
      <c r="J4381" s="5"/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</row>
    <row r="4382" spans="5:30" ht="15">
      <c r="E4382" s="9"/>
      <c r="F4382" s="5"/>
      <c r="G4382" s="5"/>
      <c r="H4382" s="5"/>
      <c r="I4382" s="5"/>
      <c r="J4382" s="5"/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</row>
    <row r="4383" spans="5:30" ht="15">
      <c r="E4383" s="9"/>
      <c r="F4383" s="5"/>
      <c r="G4383" s="5"/>
      <c r="H4383" s="5"/>
      <c r="I4383" s="5"/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</row>
    <row r="4384" spans="5:30" ht="15">
      <c r="E4384" s="9"/>
      <c r="F4384" s="5"/>
      <c r="G4384" s="5"/>
      <c r="H4384" s="5"/>
      <c r="I4384" s="5"/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</row>
    <row r="4385" spans="5:30" ht="15">
      <c r="E4385" s="9"/>
      <c r="F4385" s="5"/>
      <c r="G4385" s="5"/>
      <c r="H4385" s="5"/>
      <c r="I4385" s="5"/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</row>
    <row r="4386" spans="5:30" ht="15">
      <c r="E4386" s="9"/>
      <c r="F4386" s="5"/>
      <c r="G4386" s="5"/>
      <c r="H4386" s="5"/>
      <c r="I4386" s="5"/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</row>
    <row r="4387" spans="5:30" ht="15">
      <c r="E4387" s="9"/>
      <c r="F4387" s="5"/>
      <c r="G4387" s="5"/>
      <c r="H4387" s="5"/>
      <c r="I4387" s="5"/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</row>
    <row r="4388" spans="5:30" ht="15">
      <c r="E4388" s="9"/>
      <c r="F4388" s="5"/>
      <c r="G4388" s="5"/>
      <c r="H4388" s="5"/>
      <c r="I4388" s="5"/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</row>
    <row r="4389" spans="5:30" ht="15">
      <c r="E4389" s="9"/>
      <c r="F4389" s="5"/>
      <c r="G4389" s="5"/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</row>
    <row r="4390" spans="5:30" ht="15">
      <c r="E4390" s="9"/>
      <c r="F4390" s="5"/>
      <c r="G4390" s="5"/>
      <c r="H4390" s="5"/>
      <c r="I4390" s="5"/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</row>
    <row r="4391" spans="5:30" ht="15">
      <c r="E4391" s="9"/>
      <c r="F4391" s="5"/>
      <c r="G4391" s="5"/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</row>
    <row r="4392" spans="5:30" ht="15">
      <c r="E4392" s="9"/>
      <c r="F4392" s="5"/>
      <c r="G4392" s="5"/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</row>
    <row r="4393" spans="5:30" ht="15">
      <c r="E4393" s="9"/>
      <c r="F4393" s="5"/>
      <c r="G4393" s="5"/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</row>
    <row r="4394" spans="5:30" ht="15">
      <c r="E4394" s="9"/>
      <c r="F4394" s="5"/>
      <c r="G4394" s="5"/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</row>
    <row r="4395" spans="5:30" ht="15">
      <c r="E4395" s="9"/>
      <c r="F4395" s="5"/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</row>
    <row r="4396" spans="5:30" ht="15">
      <c r="E4396" s="9"/>
      <c r="F4396" s="5"/>
      <c r="G4396" s="5"/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</row>
    <row r="4397" spans="5:30" ht="15">
      <c r="E4397" s="9"/>
      <c r="F4397" s="5"/>
      <c r="G4397" s="5"/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</row>
    <row r="4398" spans="5:30" ht="15">
      <c r="E4398" s="9"/>
      <c r="F4398" s="5"/>
      <c r="G4398" s="5"/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</row>
    <row r="4399" spans="5:30" ht="15">
      <c r="E4399" s="9"/>
      <c r="F4399" s="5"/>
      <c r="G4399" s="5"/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</row>
    <row r="4400" spans="5:30" ht="15">
      <c r="E4400" s="9"/>
      <c r="F4400" s="5"/>
      <c r="G4400" s="5"/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</row>
    <row r="4401" spans="5:30" ht="15">
      <c r="E4401" s="9"/>
      <c r="F4401" s="5"/>
      <c r="G4401" s="5"/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</row>
    <row r="4402" spans="5:30" ht="15">
      <c r="E4402" s="9"/>
      <c r="F4402" s="5"/>
      <c r="G4402" s="5"/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</row>
    <row r="4403" spans="5:30" ht="15">
      <c r="E4403" s="9"/>
      <c r="F4403" s="5"/>
      <c r="G4403" s="5"/>
      <c r="H4403" s="5"/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</row>
    <row r="4404" spans="5:30" ht="15">
      <c r="E4404" s="9"/>
      <c r="F4404" s="5"/>
      <c r="G4404" s="5"/>
      <c r="H4404" s="5"/>
      <c r="I4404" s="5"/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</row>
    <row r="4405" spans="5:30" ht="15">
      <c r="E4405" s="9"/>
      <c r="F4405" s="5"/>
      <c r="G4405" s="5"/>
      <c r="H4405" s="5"/>
      <c r="I4405" s="5"/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</row>
    <row r="4406" spans="5:30" ht="15">
      <c r="E4406" s="9"/>
      <c r="F4406" s="5"/>
      <c r="G4406" s="5"/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</row>
    <row r="4407" spans="5:30" ht="15">
      <c r="E4407" s="9"/>
      <c r="F4407" s="5"/>
      <c r="G4407" s="5"/>
      <c r="H4407" s="5"/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</row>
    <row r="4408" spans="5:30" ht="15">
      <c r="E4408" s="9"/>
      <c r="F4408" s="5"/>
      <c r="G4408" s="5"/>
      <c r="H4408" s="5"/>
      <c r="I4408" s="5"/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</row>
    <row r="4409" spans="5:30" ht="15">
      <c r="E4409" s="9"/>
      <c r="F4409" s="5"/>
      <c r="G4409" s="5"/>
      <c r="H4409" s="5"/>
      <c r="I4409" s="5"/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</row>
    <row r="4410" spans="5:30" ht="15">
      <c r="E4410" s="9"/>
      <c r="F4410" s="5"/>
      <c r="G4410" s="5"/>
      <c r="H4410" s="5"/>
      <c r="I4410" s="5"/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</row>
    <row r="4411" spans="5:30" ht="15">
      <c r="E4411" s="9"/>
      <c r="F4411" s="5"/>
      <c r="G4411" s="5"/>
      <c r="H4411" s="5"/>
      <c r="I4411" s="5"/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</row>
    <row r="4412" spans="5:30" ht="15">
      <c r="E4412" s="9"/>
      <c r="F4412" s="5"/>
      <c r="G4412" s="5"/>
      <c r="H4412" s="5"/>
      <c r="I4412" s="5"/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</row>
    <row r="4413" spans="5:30" ht="15">
      <c r="E4413" s="9"/>
      <c r="F4413" s="5"/>
      <c r="G4413" s="5"/>
      <c r="H4413" s="5"/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</row>
    <row r="4414" spans="5:30" ht="15">
      <c r="E4414" s="9"/>
      <c r="F4414" s="5"/>
      <c r="G4414" s="5"/>
      <c r="H4414" s="5"/>
      <c r="I4414" s="5"/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</row>
    <row r="4415" spans="5:30" ht="15">
      <c r="E4415" s="9"/>
      <c r="F4415" s="5"/>
      <c r="G4415" s="5"/>
      <c r="H4415" s="5"/>
      <c r="I4415" s="5"/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</row>
    <row r="4416" spans="5:30" ht="15">
      <c r="E4416" s="9"/>
      <c r="F4416" s="5"/>
      <c r="G4416" s="5"/>
      <c r="H4416" s="5"/>
      <c r="I4416" s="5"/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</row>
    <row r="4417" spans="5:30" ht="15">
      <c r="E4417" s="9"/>
      <c r="F4417" s="5"/>
      <c r="G4417" s="5"/>
      <c r="H4417" s="5"/>
      <c r="I4417" s="5"/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</row>
    <row r="4418" spans="5:30" ht="15">
      <c r="E4418" s="9"/>
      <c r="F4418" s="5"/>
      <c r="G4418" s="5"/>
      <c r="H4418" s="5"/>
      <c r="I4418" s="5"/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</row>
    <row r="4419" spans="5:30" ht="15">
      <c r="E4419" s="9"/>
      <c r="F4419" s="5"/>
      <c r="G4419" s="5"/>
      <c r="H4419" s="5"/>
      <c r="I4419" s="5"/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</row>
    <row r="4420" spans="5:30" ht="15">
      <c r="E4420" s="9"/>
      <c r="F4420" s="5"/>
      <c r="G4420" s="5"/>
      <c r="H4420" s="5"/>
      <c r="I4420" s="5"/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</row>
    <row r="4421" spans="5:30" ht="15">
      <c r="E4421" s="9"/>
      <c r="F4421" s="5"/>
      <c r="G4421" s="5"/>
      <c r="H4421" s="5"/>
      <c r="I4421" s="5"/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</row>
    <row r="4422" spans="5:30" ht="15">
      <c r="E4422" s="9"/>
      <c r="F4422" s="5"/>
      <c r="G4422" s="5"/>
      <c r="H4422" s="5"/>
      <c r="I4422" s="5"/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</row>
    <row r="4423" spans="5:30" ht="15">
      <c r="E4423" s="9"/>
      <c r="F4423" s="5"/>
      <c r="G4423" s="5"/>
      <c r="H4423" s="5"/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</row>
    <row r="4424" spans="5:30" ht="15">
      <c r="E4424" s="9"/>
      <c r="F4424" s="5"/>
      <c r="G4424" s="5"/>
      <c r="H4424" s="5"/>
      <c r="I4424" s="5"/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</row>
    <row r="4425" spans="5:30" ht="15">
      <c r="E4425" s="9"/>
      <c r="F4425" s="5"/>
      <c r="G4425" s="5"/>
      <c r="H4425" s="5"/>
      <c r="I4425" s="5"/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</row>
    <row r="4426" spans="5:30" ht="15">
      <c r="E4426" s="9"/>
      <c r="F4426" s="5"/>
      <c r="G4426" s="5"/>
      <c r="H4426" s="5"/>
      <c r="I4426" s="5"/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</row>
    <row r="4427" spans="5:30" ht="15">
      <c r="E4427" s="9"/>
      <c r="F4427" s="5"/>
      <c r="G4427" s="5"/>
      <c r="H4427" s="5"/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</row>
    <row r="4428" spans="5:30" ht="15">
      <c r="E4428" s="9"/>
      <c r="F4428" s="5"/>
      <c r="G4428" s="5"/>
      <c r="H4428" s="5"/>
      <c r="I4428" s="5"/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</row>
    <row r="4429" spans="5:30" ht="15">
      <c r="E4429" s="9"/>
      <c r="F4429" s="5"/>
      <c r="G4429" s="5"/>
      <c r="H4429" s="5"/>
      <c r="I4429" s="5"/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</row>
    <row r="4430" spans="5:30" ht="15">
      <c r="E4430" s="9"/>
      <c r="F4430" s="5"/>
      <c r="G4430" s="5"/>
      <c r="H4430" s="5"/>
      <c r="I4430" s="5"/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</row>
    <row r="4431" spans="5:30" ht="15">
      <c r="E4431" s="9"/>
      <c r="F4431" s="5"/>
      <c r="G4431" s="5"/>
      <c r="H4431" s="5"/>
      <c r="I4431" s="5"/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</row>
    <row r="4432" spans="5:30" ht="15">
      <c r="E4432" s="9"/>
      <c r="F4432" s="5"/>
      <c r="G4432" s="5"/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</row>
    <row r="4433" spans="5:30" ht="15">
      <c r="E4433" s="9"/>
      <c r="F4433" s="5"/>
      <c r="G4433" s="5"/>
      <c r="H4433" s="5"/>
      <c r="I4433" s="5"/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</row>
    <row r="4434" spans="5:30" ht="15">
      <c r="E4434" s="9"/>
      <c r="F4434" s="5"/>
      <c r="G4434" s="5"/>
      <c r="H4434" s="5"/>
      <c r="I4434" s="5"/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</row>
    <row r="4435" spans="5:30" ht="15">
      <c r="E4435" s="9"/>
      <c r="F4435" s="5"/>
      <c r="G4435" s="5"/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</row>
    <row r="4436" spans="5:30" ht="15">
      <c r="E4436" s="9"/>
      <c r="F4436" s="5"/>
      <c r="G4436" s="5"/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</row>
    <row r="4437" spans="5:30" ht="15">
      <c r="E4437" s="9"/>
      <c r="F4437" s="5"/>
      <c r="G4437" s="5"/>
      <c r="H4437" s="5"/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</row>
    <row r="4438" spans="5:30" ht="15">
      <c r="E4438" s="9"/>
      <c r="F4438" s="5"/>
      <c r="G4438" s="5"/>
      <c r="H4438" s="5"/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</row>
    <row r="4439" spans="5:30" ht="15">
      <c r="E4439" s="9"/>
      <c r="F4439" s="5"/>
      <c r="G4439" s="5"/>
      <c r="H4439" s="5"/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</row>
    <row r="4440" spans="5:30" ht="15">
      <c r="E4440" s="9"/>
      <c r="F4440" s="5"/>
      <c r="G4440" s="5"/>
      <c r="H4440" s="5"/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</row>
    <row r="4441" spans="5:30" ht="15">
      <c r="E4441" s="9"/>
      <c r="F4441" s="5"/>
      <c r="G4441" s="5"/>
      <c r="H4441" s="5"/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</row>
    <row r="4442" spans="5:30" ht="15">
      <c r="E4442" s="9"/>
      <c r="F4442" s="5"/>
      <c r="G4442" s="5"/>
      <c r="H4442" s="5"/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</row>
    <row r="4443" spans="5:30" ht="15">
      <c r="E4443" s="9"/>
      <c r="F4443" s="5"/>
      <c r="G4443" s="5"/>
      <c r="H4443" s="5"/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</row>
    <row r="4444" spans="5:30" ht="15">
      <c r="E4444" s="9"/>
      <c r="F4444" s="5"/>
      <c r="G4444" s="5"/>
      <c r="H4444" s="5"/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</row>
    <row r="4445" spans="5:30" ht="15">
      <c r="E4445" s="9"/>
      <c r="F4445" s="5"/>
      <c r="G4445" s="5"/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</row>
    <row r="4446" spans="5:30" ht="15">
      <c r="E4446" s="9"/>
      <c r="F4446" s="5"/>
      <c r="G4446" s="5"/>
      <c r="H4446" s="5"/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</row>
    <row r="4447" spans="5:30" ht="15">
      <c r="E4447" s="9"/>
      <c r="F4447" s="5"/>
      <c r="G4447" s="5"/>
      <c r="H4447" s="5"/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</row>
    <row r="4448" spans="5:30" ht="15">
      <c r="E4448" s="9"/>
      <c r="F4448" s="5"/>
      <c r="G4448" s="5"/>
      <c r="H4448" s="5"/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</row>
    <row r="4449" spans="5:30" ht="15">
      <c r="E4449" s="9"/>
      <c r="F4449" s="5"/>
      <c r="G4449" s="5"/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</row>
    <row r="4450" spans="5:30" ht="15">
      <c r="E4450" s="9"/>
      <c r="F4450" s="5"/>
      <c r="G4450" s="5"/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</row>
    <row r="4451" spans="5:30" ht="15">
      <c r="E4451" s="9"/>
      <c r="F4451" s="5"/>
      <c r="G4451" s="5"/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</row>
    <row r="4452" spans="5:30" ht="15">
      <c r="E4452" s="9"/>
      <c r="F4452" s="5"/>
      <c r="G4452" s="5"/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</row>
    <row r="4453" spans="5:30" ht="15">
      <c r="E4453" s="9"/>
      <c r="F4453" s="5"/>
      <c r="G4453" s="5"/>
      <c r="H4453" s="5"/>
      <c r="I4453" s="5"/>
      <c r="J4453" s="5"/>
      <c r="K4453" s="5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</row>
    <row r="4454" spans="5:30" ht="15">
      <c r="E4454" s="9"/>
      <c r="F4454" s="5"/>
      <c r="G4454" s="5"/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</row>
    <row r="4455" spans="5:30" ht="15">
      <c r="E4455" s="9"/>
      <c r="F4455" s="5"/>
      <c r="G4455" s="5"/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</row>
    <row r="4456" spans="5:30" ht="15">
      <c r="E4456" s="9"/>
      <c r="F4456" s="5"/>
      <c r="G4456" s="5"/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</row>
    <row r="4457" spans="5:30" ht="15">
      <c r="E4457" s="9"/>
      <c r="F4457" s="5"/>
      <c r="G4457" s="5"/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</row>
    <row r="4458" spans="5:30" ht="15">
      <c r="E4458" s="9"/>
      <c r="F4458" s="5"/>
      <c r="G4458" s="5"/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</row>
    <row r="4459" spans="5:30" ht="15">
      <c r="E4459" s="9"/>
      <c r="F4459" s="5"/>
      <c r="G4459" s="5"/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</row>
    <row r="4460" spans="5:30" ht="15">
      <c r="E4460" s="9"/>
      <c r="F4460" s="5"/>
      <c r="G4460" s="5"/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</row>
    <row r="4461" spans="5:30" ht="15">
      <c r="E4461" s="9"/>
      <c r="F4461" s="5"/>
      <c r="G4461" s="5"/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</row>
    <row r="4462" spans="5:30" ht="15">
      <c r="E4462" s="9"/>
      <c r="F4462" s="5"/>
      <c r="G4462" s="5"/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</row>
    <row r="4463" spans="5:30" ht="15">
      <c r="E4463" s="9"/>
      <c r="F4463" s="5"/>
      <c r="G4463" s="5"/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</row>
    <row r="4464" spans="5:30" ht="15">
      <c r="E4464" s="9"/>
      <c r="F4464" s="5"/>
      <c r="G4464" s="5"/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</row>
    <row r="4465" spans="5:30" ht="15">
      <c r="E4465" s="9"/>
      <c r="F4465" s="5"/>
      <c r="G4465" s="5"/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</row>
    <row r="4466" spans="5:30" ht="15">
      <c r="E4466" s="9"/>
      <c r="F4466" s="5"/>
      <c r="G4466" s="5"/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</row>
    <row r="4467" spans="5:30" ht="15">
      <c r="E4467" s="9"/>
      <c r="F4467" s="5"/>
      <c r="G4467" s="5"/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</row>
    <row r="4468" spans="5:30" ht="15">
      <c r="E4468" s="9"/>
      <c r="F4468" s="5"/>
      <c r="G4468" s="5"/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</row>
    <row r="4469" spans="5:30" ht="15">
      <c r="E4469" s="9"/>
      <c r="F4469" s="5"/>
      <c r="G4469" s="5"/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</row>
    <row r="4470" spans="5:30" ht="15">
      <c r="E4470" s="9"/>
      <c r="F4470" s="5"/>
      <c r="G4470" s="5"/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</row>
    <row r="4471" spans="5:30" ht="15">
      <c r="E4471" s="9"/>
      <c r="F4471" s="5"/>
      <c r="G4471" s="5"/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</row>
    <row r="4472" spans="5:30" ht="15">
      <c r="E4472" s="9"/>
      <c r="F4472" s="5"/>
      <c r="G4472" s="5"/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</row>
    <row r="4473" spans="5:30" ht="15">
      <c r="E4473" s="9"/>
      <c r="F4473" s="5"/>
      <c r="G4473" s="5"/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</row>
    <row r="4474" spans="5:30" ht="15">
      <c r="E4474" s="9"/>
      <c r="F4474" s="5"/>
      <c r="G4474" s="5"/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</row>
    <row r="4475" spans="5:30" ht="15">
      <c r="E4475" s="9"/>
      <c r="F4475" s="5"/>
      <c r="G4475" s="5"/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</row>
    <row r="4476" spans="5:30" ht="15">
      <c r="E4476" s="9"/>
      <c r="F4476" s="5"/>
      <c r="G4476" s="5"/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</row>
    <row r="4477" spans="5:30" ht="15">
      <c r="E4477" s="9"/>
      <c r="F4477" s="5"/>
      <c r="G4477" s="5"/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</row>
    <row r="4478" spans="5:30" ht="15">
      <c r="E4478" s="9"/>
      <c r="F4478" s="5"/>
      <c r="G4478" s="5"/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</row>
    <row r="4479" spans="5:30" ht="15">
      <c r="E4479" s="9"/>
      <c r="F4479" s="5"/>
      <c r="G4479" s="5"/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</row>
    <row r="4480" spans="5:30" ht="15">
      <c r="E4480" s="9"/>
      <c r="F4480" s="5"/>
      <c r="G4480" s="5"/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</row>
    <row r="4481" spans="5:30" ht="15">
      <c r="E4481" s="9"/>
      <c r="F4481" s="5"/>
      <c r="G4481" s="5"/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</row>
    <row r="4482" spans="5:30" ht="15">
      <c r="E4482" s="9"/>
      <c r="F4482" s="5"/>
      <c r="G4482" s="5"/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</row>
    <row r="4483" spans="5:30" ht="15">
      <c r="E4483" s="9"/>
      <c r="F4483" s="5"/>
      <c r="G4483" s="5"/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</row>
    <row r="4484" spans="5:30" ht="15">
      <c r="E4484" s="9"/>
      <c r="F4484" s="5"/>
      <c r="G4484" s="5"/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</row>
    <row r="4485" spans="5:30" ht="15">
      <c r="E4485" s="9"/>
      <c r="F4485" s="5"/>
      <c r="G4485" s="5"/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</row>
    <row r="4486" spans="5:30" ht="15">
      <c r="E4486" s="9"/>
      <c r="F4486" s="5"/>
      <c r="G4486" s="5"/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</row>
    <row r="4487" spans="5:30" ht="15">
      <c r="E4487" s="9"/>
      <c r="F4487" s="5"/>
      <c r="G4487" s="5"/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</row>
    <row r="4488" spans="5:30" ht="15">
      <c r="E4488" s="9"/>
      <c r="F4488" s="5"/>
      <c r="G4488" s="5"/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</row>
    <row r="4489" spans="5:30" ht="15">
      <c r="E4489" s="9"/>
      <c r="F4489" s="5"/>
      <c r="G4489" s="5"/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</row>
    <row r="4490" spans="5:30" ht="15">
      <c r="E4490" s="9"/>
      <c r="F4490" s="5"/>
      <c r="G4490" s="5"/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</row>
    <row r="4491" spans="5:30" ht="15">
      <c r="E4491" s="9"/>
      <c r="F4491" s="5"/>
      <c r="G4491" s="5"/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</row>
    <row r="4492" spans="5:30" ht="15">
      <c r="E4492" s="9"/>
      <c r="F4492" s="5"/>
      <c r="G4492" s="5"/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</row>
    <row r="4493" spans="5:30" ht="15">
      <c r="E4493" s="9"/>
      <c r="F4493" s="5"/>
      <c r="G4493" s="5"/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</row>
    <row r="4494" spans="5:30" ht="15">
      <c r="E4494" s="9"/>
      <c r="F4494" s="5"/>
      <c r="G4494" s="5"/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</row>
    <row r="4495" spans="5:30" ht="15">
      <c r="E4495" s="9"/>
      <c r="F4495" s="5"/>
      <c r="G4495" s="5"/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</row>
    <row r="4496" spans="5:30" ht="15">
      <c r="E4496" s="9"/>
      <c r="F4496" s="5"/>
      <c r="G4496" s="5"/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</row>
    <row r="4497" spans="5:30" ht="15">
      <c r="E4497" s="9"/>
      <c r="F4497" s="5"/>
      <c r="G4497" s="5"/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</row>
    <row r="4498" spans="5:30" ht="15">
      <c r="E4498" s="9"/>
      <c r="F4498" s="5"/>
      <c r="G4498" s="5"/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</row>
    <row r="4499" spans="5:30" ht="15">
      <c r="E4499" s="9"/>
      <c r="F4499" s="5"/>
      <c r="G4499" s="5"/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</row>
    <row r="4500" spans="5:30" ht="15">
      <c r="E4500" s="9"/>
      <c r="F4500" s="5"/>
      <c r="G4500" s="5"/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</row>
    <row r="4501" spans="5:30" ht="15">
      <c r="E4501" s="9"/>
      <c r="F4501" s="5"/>
      <c r="G4501" s="5"/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</row>
    <row r="4502" spans="5:30" ht="15">
      <c r="E4502" s="9"/>
      <c r="F4502" s="5"/>
      <c r="G4502" s="5"/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</row>
    <row r="4503" spans="5:30" ht="15">
      <c r="E4503" s="9"/>
      <c r="F4503" s="5"/>
      <c r="G4503" s="5"/>
      <c r="H4503" s="5"/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</row>
    <row r="4504" spans="5:30" ht="15">
      <c r="E4504" s="9"/>
      <c r="F4504" s="5"/>
      <c r="G4504" s="5"/>
      <c r="H4504" s="5"/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</row>
    <row r="4505" spans="5:30" ht="15">
      <c r="E4505" s="9"/>
      <c r="F4505" s="5"/>
      <c r="G4505" s="5"/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</row>
    <row r="4506" spans="5:30" ht="15">
      <c r="E4506" s="9"/>
      <c r="F4506" s="5"/>
      <c r="G4506" s="5"/>
      <c r="H4506" s="5"/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</row>
    <row r="4507" spans="5:30" ht="15">
      <c r="E4507" s="9"/>
      <c r="F4507" s="5"/>
      <c r="G4507" s="5"/>
      <c r="H4507" s="5"/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</row>
    <row r="4508" spans="5:30" ht="15">
      <c r="E4508" s="9"/>
      <c r="F4508" s="5"/>
      <c r="G4508" s="5"/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</row>
    <row r="4509" spans="5:30" ht="15">
      <c r="E4509" s="9"/>
      <c r="F4509" s="5"/>
      <c r="G4509" s="5"/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</row>
    <row r="4510" spans="5:30" ht="15">
      <c r="E4510" s="9"/>
      <c r="F4510" s="5"/>
      <c r="G4510" s="5"/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</row>
    <row r="4511" spans="5:30" ht="15">
      <c r="E4511" s="9"/>
      <c r="F4511" s="5"/>
      <c r="G4511" s="5"/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</row>
    <row r="4512" spans="5:30" ht="15">
      <c r="E4512" s="9"/>
      <c r="F4512" s="5"/>
      <c r="G4512" s="5"/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</row>
    <row r="4513" spans="5:30" ht="15">
      <c r="E4513" s="9"/>
      <c r="F4513" s="5"/>
      <c r="G4513" s="5"/>
      <c r="H4513" s="5"/>
      <c r="I4513" s="5"/>
      <c r="J4513" s="5"/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</row>
    <row r="4514" spans="5:30" ht="15">
      <c r="E4514" s="9"/>
      <c r="F4514" s="5"/>
      <c r="G4514" s="5"/>
      <c r="H4514" s="5"/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</row>
    <row r="4515" spans="5:30" ht="15">
      <c r="E4515" s="9"/>
      <c r="F4515" s="5"/>
      <c r="G4515" s="5"/>
      <c r="H4515" s="5"/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</row>
    <row r="4516" spans="5:30" ht="15">
      <c r="E4516" s="9"/>
      <c r="F4516" s="5"/>
      <c r="G4516" s="5"/>
      <c r="H4516" s="5"/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</row>
    <row r="4517" spans="5:30" ht="15">
      <c r="E4517" s="9"/>
      <c r="F4517" s="5"/>
      <c r="G4517" s="5"/>
      <c r="H4517" s="5"/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</row>
    <row r="4518" spans="5:30" ht="15">
      <c r="E4518" s="9"/>
      <c r="F4518" s="5"/>
      <c r="G4518" s="5"/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</row>
    <row r="4519" spans="5:30" ht="15">
      <c r="E4519" s="9"/>
      <c r="F4519" s="5"/>
      <c r="G4519" s="5"/>
      <c r="H4519" s="5"/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</row>
    <row r="4520" spans="5:30" ht="15">
      <c r="E4520" s="9"/>
      <c r="F4520" s="5"/>
      <c r="G4520" s="5"/>
      <c r="H4520" s="5"/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</row>
    <row r="4521" spans="5:30" ht="15">
      <c r="E4521" s="9"/>
      <c r="F4521" s="5"/>
      <c r="G4521" s="5"/>
      <c r="H4521" s="5"/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</row>
    <row r="4522" spans="5:30" ht="15">
      <c r="E4522" s="9"/>
      <c r="F4522" s="5"/>
      <c r="G4522" s="5"/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</row>
    <row r="4523" spans="5:30" ht="15">
      <c r="E4523" s="9"/>
      <c r="F4523" s="5"/>
      <c r="G4523" s="5"/>
      <c r="H4523" s="5"/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</row>
    <row r="4524" spans="5:30" ht="15">
      <c r="E4524" s="9"/>
      <c r="F4524" s="5"/>
      <c r="G4524" s="5"/>
      <c r="H4524" s="5"/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</row>
    <row r="4525" spans="5:30" ht="15">
      <c r="E4525" s="9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</row>
    <row r="4526" spans="5:30" ht="15">
      <c r="E4526" s="9"/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</row>
    <row r="4527" spans="5:30" ht="15">
      <c r="E4527" s="9"/>
      <c r="F4527" s="5"/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</row>
    <row r="4528" spans="5:30" ht="15">
      <c r="E4528" s="9"/>
      <c r="F4528" s="5"/>
      <c r="G4528" s="5"/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</row>
    <row r="4529" spans="5:30" ht="15">
      <c r="E4529" s="9"/>
      <c r="F4529" s="5"/>
      <c r="G4529" s="5"/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</row>
    <row r="4530" spans="5:30" ht="15">
      <c r="E4530" s="9"/>
      <c r="F4530" s="5"/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</row>
    <row r="4531" spans="5:30" ht="15">
      <c r="E4531" s="9"/>
      <c r="F4531" s="5"/>
      <c r="G4531" s="5"/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</row>
    <row r="4532" spans="5:30" ht="15">
      <c r="E4532" s="9"/>
      <c r="F4532" s="5"/>
      <c r="G4532" s="5"/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</row>
    <row r="4533" spans="5:30" ht="15">
      <c r="E4533" s="9"/>
      <c r="F4533" s="5"/>
      <c r="G4533" s="5"/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</row>
    <row r="4534" spans="5:30" ht="15">
      <c r="E4534" s="9"/>
      <c r="F4534" s="5"/>
      <c r="G4534" s="5"/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</row>
    <row r="4535" spans="5:30" ht="15">
      <c r="E4535" s="9"/>
      <c r="F4535" s="5"/>
      <c r="G4535" s="5"/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</row>
    <row r="4536" spans="5:30" ht="15">
      <c r="E4536" s="9"/>
      <c r="F4536" s="5"/>
      <c r="G4536" s="5"/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</row>
    <row r="4537" spans="5:30" ht="15">
      <c r="E4537" s="9"/>
      <c r="F4537" s="5"/>
      <c r="G4537" s="5"/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</row>
    <row r="4538" spans="5:30" ht="15">
      <c r="E4538" s="9"/>
      <c r="F4538" s="5"/>
      <c r="G4538" s="5"/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</row>
    <row r="4539" spans="5:30" ht="15">
      <c r="E4539" s="9"/>
      <c r="F4539" s="5"/>
      <c r="G4539" s="5"/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</row>
    <row r="4540" spans="5:30" ht="15">
      <c r="E4540" s="9"/>
      <c r="F4540" s="5"/>
      <c r="G4540" s="5"/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</row>
    <row r="4541" spans="5:30" ht="15">
      <c r="E4541" s="9"/>
      <c r="F4541" s="5"/>
      <c r="G4541" s="5"/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</row>
    <row r="4542" spans="5:30" ht="15">
      <c r="E4542" s="9"/>
      <c r="F4542" s="5"/>
      <c r="G4542" s="5"/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</row>
    <row r="4543" spans="5:30" ht="15">
      <c r="E4543" s="9"/>
      <c r="F4543" s="5"/>
      <c r="G4543" s="5"/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</row>
    <row r="4544" spans="5:30" ht="15">
      <c r="E4544" s="9"/>
      <c r="F4544" s="5"/>
      <c r="G4544" s="5"/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</row>
    <row r="4545" spans="5:30" ht="15">
      <c r="E4545" s="9"/>
      <c r="F4545" s="5"/>
      <c r="G4545" s="5"/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</row>
    <row r="4546" spans="5:30" ht="15">
      <c r="E4546" s="9"/>
      <c r="F4546" s="5"/>
      <c r="G4546" s="5"/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</row>
    <row r="4547" spans="5:30" ht="15">
      <c r="E4547" s="9"/>
      <c r="F4547" s="5"/>
      <c r="G4547" s="5"/>
      <c r="H4547" s="5"/>
      <c r="I4547" s="5"/>
      <c r="J4547" s="5"/>
      <c r="K4547" s="5"/>
      <c r="L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</row>
    <row r="4548" spans="5:30" ht="15">
      <c r="E4548" s="9"/>
      <c r="F4548" s="5"/>
      <c r="G4548" s="5"/>
      <c r="H4548" s="5"/>
      <c r="I4548" s="5"/>
      <c r="J4548" s="5"/>
      <c r="K4548" s="5"/>
      <c r="L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</row>
    <row r="4549" spans="5:30" ht="15">
      <c r="E4549" s="9"/>
      <c r="F4549" s="5"/>
      <c r="G4549" s="5"/>
      <c r="H4549" s="5"/>
      <c r="I4549" s="5"/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</row>
    <row r="4550" spans="5:30" ht="15">
      <c r="E4550" s="9"/>
      <c r="F4550" s="5"/>
      <c r="G4550" s="5"/>
      <c r="H4550" s="5"/>
      <c r="I4550" s="5"/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</row>
    <row r="4551" spans="5:30" ht="15">
      <c r="E4551" s="9"/>
      <c r="F4551" s="5"/>
      <c r="G4551" s="5"/>
      <c r="H4551" s="5"/>
      <c r="I4551" s="5"/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</row>
    <row r="4552" spans="5:30" ht="15">
      <c r="E4552" s="9"/>
      <c r="F4552" s="5"/>
      <c r="G4552" s="5"/>
      <c r="H4552" s="5"/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</row>
    <row r="4553" spans="5:30" ht="15">
      <c r="E4553" s="9"/>
      <c r="F4553" s="5"/>
      <c r="G4553" s="5"/>
      <c r="H4553" s="5"/>
      <c r="I4553" s="5"/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</row>
    <row r="4554" spans="5:30" ht="15">
      <c r="E4554" s="9"/>
      <c r="F4554" s="5"/>
      <c r="G4554" s="5"/>
      <c r="H4554" s="5"/>
      <c r="I4554" s="5"/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</row>
    <row r="4555" spans="5:30" ht="15">
      <c r="E4555" s="9"/>
      <c r="F4555" s="5"/>
      <c r="G4555" s="5"/>
      <c r="H4555" s="5"/>
      <c r="I4555" s="5"/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</row>
    <row r="4556" spans="5:30" ht="15">
      <c r="E4556" s="9"/>
      <c r="F4556" s="5"/>
      <c r="G4556" s="5"/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</row>
    <row r="4557" spans="5:30" ht="15">
      <c r="E4557" s="9"/>
      <c r="F4557" s="5"/>
      <c r="G4557" s="5"/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</row>
    <row r="4558" spans="5:30" ht="15">
      <c r="E4558" s="9"/>
      <c r="F4558" s="5"/>
      <c r="G4558" s="5"/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</row>
    <row r="4559" spans="5:30" ht="15">
      <c r="E4559" s="9"/>
      <c r="F4559" s="5"/>
      <c r="G4559" s="5"/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</row>
    <row r="4560" spans="5:30" ht="15">
      <c r="E4560" s="9"/>
      <c r="F4560" s="5"/>
      <c r="G4560" s="5"/>
      <c r="H4560" s="5"/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</row>
    <row r="4561" spans="5:30" ht="15">
      <c r="E4561" s="9"/>
      <c r="F4561" s="5"/>
      <c r="G4561" s="5"/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</row>
    <row r="4562" spans="5:30" ht="15">
      <c r="E4562" s="9"/>
      <c r="F4562" s="5"/>
      <c r="G4562" s="5"/>
      <c r="H4562" s="5"/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</row>
    <row r="4563" spans="5:30" ht="15">
      <c r="E4563" s="9"/>
      <c r="F4563" s="5"/>
      <c r="G4563" s="5"/>
      <c r="H4563" s="5"/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</row>
    <row r="4564" spans="5:30" ht="15">
      <c r="E4564" s="9"/>
      <c r="F4564" s="5"/>
      <c r="G4564" s="5"/>
      <c r="H4564" s="5"/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</row>
    <row r="4565" spans="5:30" ht="15">
      <c r="E4565" s="9"/>
      <c r="F4565" s="5"/>
      <c r="G4565" s="5"/>
      <c r="H4565" s="5"/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</row>
    <row r="4566" spans="5:30" ht="15">
      <c r="E4566" s="9"/>
      <c r="F4566" s="5"/>
      <c r="G4566" s="5"/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</row>
    <row r="4567" spans="5:30" ht="15">
      <c r="E4567" s="9"/>
      <c r="F4567" s="5"/>
      <c r="G4567" s="5"/>
      <c r="H4567" s="5"/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</row>
    <row r="4568" spans="5:30" ht="15">
      <c r="E4568" s="9"/>
      <c r="F4568" s="5"/>
      <c r="G4568" s="5"/>
      <c r="H4568" s="5"/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</row>
    <row r="4569" spans="5:30" ht="15">
      <c r="E4569" s="9"/>
      <c r="F4569" s="5"/>
      <c r="G4569" s="5"/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</row>
    <row r="4570" spans="5:30" ht="15">
      <c r="E4570" s="9"/>
      <c r="F4570" s="5"/>
      <c r="G4570" s="5"/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</row>
    <row r="4571" spans="5:30" ht="15">
      <c r="E4571" s="9"/>
      <c r="F4571" s="5"/>
      <c r="G4571" s="5"/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</row>
    <row r="4572" spans="5:30" ht="15">
      <c r="E4572" s="9"/>
      <c r="F4572" s="5"/>
      <c r="G4572" s="5"/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</row>
    <row r="4573" spans="5:30" ht="15">
      <c r="E4573" s="9"/>
      <c r="F4573" s="5"/>
      <c r="G4573" s="5"/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</row>
    <row r="4574" spans="5:30" ht="15">
      <c r="E4574" s="9"/>
      <c r="F4574" s="5"/>
      <c r="G4574" s="5"/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</row>
    <row r="4575" spans="5:30" ht="15">
      <c r="E4575" s="9"/>
      <c r="F4575" s="5"/>
      <c r="G4575" s="5"/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</row>
    <row r="4576" spans="5:30" ht="15">
      <c r="E4576" s="9"/>
      <c r="F4576" s="5"/>
      <c r="G4576" s="5"/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</row>
    <row r="4577" spans="5:30" ht="15">
      <c r="E4577" s="9"/>
      <c r="F4577" s="5"/>
      <c r="G4577" s="5"/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</row>
    <row r="4578" spans="5:30" ht="15">
      <c r="E4578" s="9"/>
      <c r="F4578" s="5"/>
      <c r="G4578" s="5"/>
      <c r="H4578" s="5"/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</row>
    <row r="4579" spans="5:30" ht="15">
      <c r="E4579" s="9"/>
      <c r="F4579" s="5"/>
      <c r="G4579" s="5"/>
      <c r="H4579" s="5"/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</row>
    <row r="4580" spans="5:30" ht="15">
      <c r="E4580" s="9"/>
      <c r="F4580" s="5"/>
      <c r="G4580" s="5"/>
      <c r="H4580" s="5"/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</row>
    <row r="4581" spans="5:30" ht="15">
      <c r="E4581" s="9"/>
      <c r="F4581" s="5"/>
      <c r="G4581" s="5"/>
      <c r="H4581" s="5"/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</row>
    <row r="4582" spans="5:30" ht="15">
      <c r="E4582" s="9"/>
      <c r="F4582" s="5"/>
      <c r="G4582" s="5"/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</row>
    <row r="4583" spans="5:30" ht="15">
      <c r="E4583" s="9"/>
      <c r="F4583" s="5"/>
      <c r="G4583" s="5"/>
      <c r="H4583" s="5"/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</row>
    <row r="4584" spans="5:30" ht="15">
      <c r="E4584" s="9"/>
      <c r="F4584" s="5"/>
      <c r="G4584" s="5"/>
      <c r="H4584" s="5"/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</row>
    <row r="4585" spans="5:30" ht="15">
      <c r="E4585" s="9"/>
      <c r="F4585" s="5"/>
      <c r="G4585" s="5"/>
      <c r="H4585" s="5"/>
      <c r="I4585" s="5"/>
      <c r="J4585" s="5"/>
      <c r="K4585" s="5"/>
      <c r="L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</row>
    <row r="4586" spans="5:30" ht="15">
      <c r="E4586" s="9"/>
      <c r="F4586" s="5"/>
      <c r="G4586" s="5"/>
      <c r="H4586" s="5"/>
      <c r="I4586" s="5"/>
      <c r="J4586" s="5"/>
      <c r="K4586" s="5"/>
      <c r="L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</row>
    <row r="4587" spans="5:30" ht="15">
      <c r="E4587" s="9"/>
      <c r="F4587" s="5"/>
      <c r="G4587" s="5"/>
      <c r="H4587" s="5"/>
      <c r="I4587" s="5"/>
      <c r="J4587" s="5"/>
      <c r="K4587" s="5"/>
      <c r="L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</row>
    <row r="4588" spans="5:30" ht="15">
      <c r="E4588" s="9"/>
      <c r="F4588" s="5"/>
      <c r="G4588" s="5"/>
      <c r="H4588" s="5"/>
      <c r="I4588" s="5"/>
      <c r="J4588" s="5"/>
      <c r="K4588" s="5"/>
      <c r="L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</row>
    <row r="4589" spans="5:30" ht="15">
      <c r="E4589" s="9"/>
      <c r="F4589" s="5"/>
      <c r="G4589" s="5"/>
      <c r="H4589" s="5"/>
      <c r="I4589" s="5"/>
      <c r="J4589" s="5"/>
      <c r="K4589" s="5"/>
      <c r="L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</row>
    <row r="4590" spans="5:30" ht="15">
      <c r="E4590" s="9"/>
      <c r="F4590" s="5"/>
      <c r="G4590" s="5"/>
      <c r="H4590" s="5"/>
      <c r="I4590" s="5"/>
      <c r="J4590" s="5"/>
      <c r="K4590" s="5"/>
      <c r="L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</row>
    <row r="4591" spans="5:30" ht="15">
      <c r="E4591" s="9"/>
      <c r="F4591" s="5"/>
      <c r="G4591" s="5"/>
      <c r="H4591" s="5"/>
      <c r="I4591" s="5"/>
      <c r="J4591" s="5"/>
      <c r="K4591" s="5"/>
      <c r="L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</row>
    <row r="4592" spans="5:30" ht="15">
      <c r="E4592" s="9"/>
      <c r="F4592" s="5"/>
      <c r="G4592" s="5"/>
      <c r="H4592" s="5"/>
      <c r="I4592" s="5"/>
      <c r="J4592" s="5"/>
      <c r="K4592" s="5"/>
      <c r="L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</row>
    <row r="4593" spans="5:30" ht="15">
      <c r="E4593" s="9"/>
      <c r="F4593" s="5"/>
      <c r="G4593" s="5"/>
      <c r="H4593" s="5"/>
      <c r="I4593" s="5"/>
      <c r="J4593" s="5"/>
      <c r="K4593" s="5"/>
      <c r="L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</row>
    <row r="4594" spans="5:30" ht="15">
      <c r="E4594" s="9"/>
      <c r="F4594" s="5"/>
      <c r="G4594" s="5"/>
      <c r="H4594" s="5"/>
      <c r="I4594" s="5"/>
      <c r="J4594" s="5"/>
      <c r="K4594" s="5"/>
      <c r="L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</row>
    <row r="4595" spans="5:30" ht="15">
      <c r="E4595" s="9"/>
      <c r="F4595" s="5"/>
      <c r="G4595" s="5"/>
      <c r="H4595" s="5"/>
      <c r="I4595" s="5"/>
      <c r="J4595" s="5"/>
      <c r="K4595" s="5"/>
      <c r="L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</row>
    <row r="4596" spans="5:30" ht="15">
      <c r="E4596" s="9"/>
      <c r="F4596" s="5"/>
      <c r="G4596" s="5"/>
      <c r="H4596" s="5"/>
      <c r="I4596" s="5"/>
      <c r="J4596" s="5"/>
      <c r="K4596" s="5"/>
      <c r="L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</row>
    <row r="4597" spans="5:30" ht="15">
      <c r="E4597" s="9"/>
      <c r="F4597" s="5"/>
      <c r="G4597" s="5"/>
      <c r="H4597" s="5"/>
      <c r="I4597" s="5"/>
      <c r="J4597" s="5"/>
      <c r="K4597" s="5"/>
      <c r="L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</row>
    <row r="4598" spans="5:30" ht="15">
      <c r="E4598" s="9"/>
      <c r="F4598" s="5"/>
      <c r="G4598" s="5"/>
      <c r="H4598" s="5"/>
      <c r="I4598" s="5"/>
      <c r="J4598" s="5"/>
      <c r="K4598" s="5"/>
      <c r="L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</row>
    <row r="4599" spans="5:30" ht="15">
      <c r="E4599" s="9"/>
      <c r="F4599" s="5"/>
      <c r="G4599" s="5"/>
      <c r="H4599" s="5"/>
      <c r="I4599" s="5"/>
      <c r="J4599" s="5"/>
      <c r="K4599" s="5"/>
      <c r="L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</row>
    <row r="4600" spans="5:30" ht="15">
      <c r="E4600" s="9"/>
      <c r="F4600" s="5"/>
      <c r="G4600" s="5"/>
      <c r="H4600" s="5"/>
      <c r="I4600" s="5"/>
      <c r="J4600" s="5"/>
      <c r="K4600" s="5"/>
      <c r="L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</row>
    <row r="4601" spans="5:30" ht="15">
      <c r="E4601" s="9"/>
      <c r="F4601" s="5"/>
      <c r="G4601" s="5"/>
      <c r="H4601" s="5"/>
      <c r="I4601" s="5"/>
      <c r="J4601" s="5"/>
      <c r="K4601" s="5"/>
      <c r="L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</row>
    <row r="4602" spans="5:30" ht="15">
      <c r="E4602" s="9"/>
      <c r="F4602" s="5"/>
      <c r="G4602" s="5"/>
      <c r="H4602" s="5"/>
      <c r="I4602" s="5"/>
      <c r="J4602" s="5"/>
      <c r="K4602" s="5"/>
      <c r="L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</row>
    <row r="4603" spans="5:30" ht="15">
      <c r="E4603" s="9"/>
      <c r="F4603" s="5"/>
      <c r="G4603" s="5"/>
      <c r="H4603" s="5"/>
      <c r="I4603" s="5"/>
      <c r="J4603" s="5"/>
      <c r="K4603" s="5"/>
      <c r="L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</row>
    <row r="4604" spans="5:30" ht="15">
      <c r="E4604" s="9"/>
      <c r="F4604" s="5"/>
      <c r="G4604" s="5"/>
      <c r="H4604" s="5"/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</row>
    <row r="4605" spans="5:30" ht="15">
      <c r="E4605" s="9"/>
      <c r="F4605" s="5"/>
      <c r="G4605" s="5"/>
      <c r="H4605" s="5"/>
      <c r="I4605" s="5"/>
      <c r="J4605" s="5"/>
      <c r="K4605" s="5"/>
      <c r="L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</row>
    <row r="4606" spans="5:30" ht="15">
      <c r="E4606" s="9"/>
      <c r="F4606" s="5"/>
      <c r="G4606" s="5"/>
      <c r="H4606" s="5"/>
      <c r="I4606" s="5"/>
      <c r="J4606" s="5"/>
      <c r="K4606" s="5"/>
      <c r="L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</row>
    <row r="4607" spans="5:30" ht="15">
      <c r="E4607" s="9"/>
      <c r="F4607" s="5"/>
      <c r="G4607" s="5"/>
      <c r="H4607" s="5"/>
      <c r="I4607" s="5"/>
      <c r="J4607" s="5"/>
      <c r="K4607" s="5"/>
      <c r="L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</row>
    <row r="4608" spans="5:30" ht="15">
      <c r="E4608" s="9"/>
      <c r="F4608" s="5"/>
      <c r="G4608" s="5"/>
      <c r="H4608" s="5"/>
      <c r="I4608" s="5"/>
      <c r="J4608" s="5"/>
      <c r="K4608" s="5"/>
      <c r="L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</row>
    <row r="4609" spans="5:30" ht="15">
      <c r="E4609" s="9"/>
      <c r="F4609" s="5"/>
      <c r="G4609" s="5"/>
      <c r="H4609" s="5"/>
      <c r="I4609" s="5"/>
      <c r="J4609" s="5"/>
      <c r="K4609" s="5"/>
      <c r="L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</row>
    <row r="4610" spans="5:30" ht="15">
      <c r="E4610" s="9"/>
      <c r="F4610" s="5"/>
      <c r="G4610" s="5"/>
      <c r="H4610" s="5"/>
      <c r="I4610" s="5"/>
      <c r="J4610" s="5"/>
      <c r="K4610" s="5"/>
      <c r="L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</row>
    <row r="4611" spans="5:30" ht="15">
      <c r="E4611" s="9"/>
      <c r="F4611" s="5"/>
      <c r="G4611" s="5"/>
      <c r="H4611" s="5"/>
      <c r="I4611" s="5"/>
      <c r="J4611" s="5"/>
      <c r="K4611" s="5"/>
      <c r="L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</row>
    <row r="4612" spans="5:30" ht="15">
      <c r="E4612" s="9"/>
      <c r="F4612" s="5"/>
      <c r="G4612" s="5"/>
      <c r="H4612" s="5"/>
      <c r="I4612" s="5"/>
      <c r="J4612" s="5"/>
      <c r="K4612" s="5"/>
      <c r="L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</row>
    <row r="4613" spans="5:30" ht="15">
      <c r="E4613" s="9"/>
      <c r="F4613" s="5"/>
      <c r="G4613" s="5"/>
      <c r="H4613" s="5"/>
      <c r="I4613" s="5"/>
      <c r="J4613" s="5"/>
      <c r="K4613" s="5"/>
      <c r="L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</row>
    <row r="4614" spans="5:30" ht="15">
      <c r="E4614" s="9"/>
      <c r="F4614" s="5"/>
      <c r="G4614" s="5"/>
      <c r="H4614" s="5"/>
      <c r="I4614" s="5"/>
      <c r="J4614" s="5"/>
      <c r="K4614" s="5"/>
      <c r="L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</row>
    <row r="4615" spans="5:30" ht="15">
      <c r="E4615" s="9"/>
      <c r="F4615" s="5"/>
      <c r="G4615" s="5"/>
      <c r="H4615" s="5"/>
      <c r="I4615" s="5"/>
      <c r="J4615" s="5"/>
      <c r="K4615" s="5"/>
      <c r="L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</row>
    <row r="4616" spans="5:30" ht="15">
      <c r="E4616" s="9"/>
      <c r="F4616" s="5"/>
      <c r="G4616" s="5"/>
      <c r="H4616" s="5"/>
      <c r="I4616" s="5"/>
      <c r="J4616" s="5"/>
      <c r="K4616" s="5"/>
      <c r="L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</row>
    <row r="4617" spans="5:30" ht="15">
      <c r="E4617" s="9"/>
      <c r="F4617" s="5"/>
      <c r="G4617" s="5"/>
      <c r="H4617" s="5"/>
      <c r="I4617" s="5"/>
      <c r="J4617" s="5"/>
      <c r="K4617" s="5"/>
      <c r="L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</row>
    <row r="4618" spans="5:30" ht="15">
      <c r="E4618" s="9"/>
      <c r="F4618" s="5"/>
      <c r="G4618" s="5"/>
      <c r="H4618" s="5"/>
      <c r="I4618" s="5"/>
      <c r="J4618" s="5"/>
      <c r="K4618" s="5"/>
      <c r="L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</row>
    <row r="4619" spans="5:30" ht="15">
      <c r="E4619" s="9"/>
      <c r="F4619" s="5"/>
      <c r="G4619" s="5"/>
      <c r="H4619" s="5"/>
      <c r="I4619" s="5"/>
      <c r="J4619" s="5"/>
      <c r="K4619" s="5"/>
      <c r="L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</row>
    <row r="4620" spans="5:30" ht="15">
      <c r="E4620" s="9"/>
      <c r="F4620" s="5"/>
      <c r="G4620" s="5"/>
      <c r="H4620" s="5"/>
      <c r="I4620" s="5"/>
      <c r="J4620" s="5"/>
      <c r="K4620" s="5"/>
      <c r="L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</row>
    <row r="4621" spans="5:30" ht="15">
      <c r="E4621" s="9"/>
      <c r="F4621" s="5"/>
      <c r="G4621" s="5"/>
      <c r="H4621" s="5"/>
      <c r="I4621" s="5"/>
      <c r="J4621" s="5"/>
      <c r="K4621" s="5"/>
      <c r="L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</row>
    <row r="4622" spans="5:30" ht="15">
      <c r="E4622" s="9"/>
      <c r="F4622" s="5"/>
      <c r="G4622" s="5"/>
      <c r="H4622" s="5"/>
      <c r="I4622" s="5"/>
      <c r="J4622" s="5"/>
      <c r="K4622" s="5"/>
      <c r="L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</row>
    <row r="4623" spans="5:30" ht="15">
      <c r="E4623" s="9"/>
      <c r="F4623" s="5"/>
      <c r="G4623" s="5"/>
      <c r="H4623" s="5"/>
      <c r="I4623" s="5"/>
      <c r="J4623" s="5"/>
      <c r="K4623" s="5"/>
      <c r="L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</row>
    <row r="4624" spans="5:30" ht="15">
      <c r="E4624" s="9"/>
      <c r="F4624" s="5"/>
      <c r="G4624" s="5"/>
      <c r="H4624" s="5"/>
      <c r="I4624" s="5"/>
      <c r="J4624" s="5"/>
      <c r="K4624" s="5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</row>
    <row r="4625" spans="5:30" ht="15">
      <c r="E4625" s="9"/>
      <c r="F4625" s="5"/>
      <c r="G4625" s="5"/>
      <c r="H4625" s="5"/>
      <c r="I4625" s="5"/>
      <c r="J4625" s="5"/>
      <c r="K4625" s="5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</row>
    <row r="4626" spans="5:30" ht="15">
      <c r="E4626" s="9"/>
      <c r="F4626" s="5"/>
      <c r="G4626" s="5"/>
      <c r="H4626" s="5"/>
      <c r="I4626" s="5"/>
      <c r="J4626" s="5"/>
      <c r="K4626" s="5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</row>
    <row r="4627" spans="5:30" ht="15">
      <c r="E4627" s="9"/>
      <c r="F4627" s="5"/>
      <c r="G4627" s="5"/>
      <c r="H4627" s="5"/>
      <c r="I4627" s="5"/>
      <c r="J4627" s="5"/>
      <c r="K4627" s="5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</row>
    <row r="4628" spans="5:30" ht="15">
      <c r="E4628" s="9"/>
      <c r="F4628" s="5"/>
      <c r="G4628" s="5"/>
      <c r="H4628" s="5"/>
      <c r="I4628" s="5"/>
      <c r="J4628" s="5"/>
      <c r="K4628" s="5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</row>
    <row r="4629" spans="5:30" ht="15">
      <c r="E4629" s="9"/>
      <c r="F4629" s="5"/>
      <c r="G4629" s="5"/>
      <c r="H4629" s="5"/>
      <c r="I4629" s="5"/>
      <c r="J4629" s="5"/>
      <c r="K4629" s="5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</row>
    <row r="4630" spans="5:30" ht="15">
      <c r="E4630" s="9"/>
      <c r="F4630" s="5"/>
      <c r="G4630" s="5"/>
      <c r="H4630" s="5"/>
      <c r="I4630" s="5"/>
      <c r="J4630" s="5"/>
      <c r="K4630" s="5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</row>
    <row r="4631" spans="5:30" ht="15">
      <c r="E4631" s="9"/>
      <c r="F4631" s="5"/>
      <c r="G4631" s="5"/>
      <c r="H4631" s="5"/>
      <c r="I4631" s="5"/>
      <c r="J4631" s="5"/>
      <c r="K4631" s="5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</row>
    <row r="4632" spans="5:30" ht="15">
      <c r="E4632" s="9"/>
      <c r="F4632" s="5"/>
      <c r="G4632" s="5"/>
      <c r="H4632" s="5"/>
      <c r="I4632" s="5"/>
      <c r="J4632" s="5"/>
      <c r="K4632" s="5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</row>
    <row r="4633" spans="5:30" ht="15">
      <c r="E4633" s="9"/>
      <c r="F4633" s="5"/>
      <c r="G4633" s="5"/>
      <c r="H4633" s="5"/>
      <c r="I4633" s="5"/>
      <c r="J4633" s="5"/>
      <c r="K4633" s="5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</row>
    <row r="4634" spans="5:30" ht="15">
      <c r="E4634" s="9"/>
      <c r="F4634" s="5"/>
      <c r="G4634" s="5"/>
      <c r="H4634" s="5"/>
      <c r="I4634" s="5"/>
      <c r="J4634" s="5"/>
      <c r="K4634" s="5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</row>
    <row r="4635" spans="5:30" ht="15">
      <c r="E4635" s="9"/>
      <c r="F4635" s="5"/>
      <c r="G4635" s="5"/>
      <c r="H4635" s="5"/>
      <c r="I4635" s="5"/>
      <c r="J4635" s="5"/>
      <c r="K4635" s="5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</row>
    <row r="4636" spans="5:30" ht="15">
      <c r="E4636" s="9"/>
      <c r="F4636" s="5"/>
      <c r="G4636" s="5"/>
      <c r="H4636" s="5"/>
      <c r="I4636" s="5"/>
      <c r="J4636" s="5"/>
      <c r="K4636" s="5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</row>
    <row r="4637" spans="5:30" ht="15">
      <c r="E4637" s="9"/>
      <c r="F4637" s="5"/>
      <c r="G4637" s="5"/>
      <c r="H4637" s="5"/>
      <c r="I4637" s="5"/>
      <c r="J4637" s="5"/>
      <c r="K4637" s="5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</row>
    <row r="4638" spans="5:30" ht="15">
      <c r="E4638" s="9"/>
      <c r="F4638" s="5"/>
      <c r="G4638" s="5"/>
      <c r="H4638" s="5"/>
      <c r="I4638" s="5"/>
      <c r="J4638" s="5"/>
      <c r="K4638" s="5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</row>
    <row r="4639" spans="5:30" ht="15">
      <c r="E4639" s="9"/>
      <c r="F4639" s="5"/>
      <c r="G4639" s="5"/>
      <c r="H4639" s="5"/>
      <c r="I4639" s="5"/>
      <c r="J4639" s="5"/>
      <c r="K4639" s="5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</row>
    <row r="4640" spans="5:30" ht="15">
      <c r="E4640" s="9"/>
      <c r="F4640" s="5"/>
      <c r="G4640" s="5"/>
      <c r="H4640" s="5"/>
      <c r="I4640" s="5"/>
      <c r="J4640" s="5"/>
      <c r="K4640" s="5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</row>
    <row r="4641" spans="5:30" ht="15">
      <c r="E4641" s="9"/>
      <c r="F4641" s="5"/>
      <c r="G4641" s="5"/>
      <c r="H4641" s="5"/>
      <c r="I4641" s="5"/>
      <c r="J4641" s="5"/>
      <c r="K4641" s="5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</row>
    <row r="4642" spans="5:30" ht="15">
      <c r="E4642" s="9"/>
      <c r="F4642" s="5"/>
      <c r="G4642" s="5"/>
      <c r="H4642" s="5"/>
      <c r="I4642" s="5"/>
      <c r="J4642" s="5"/>
      <c r="K4642" s="5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</row>
    <row r="4643" spans="5:30" ht="15">
      <c r="E4643" s="9"/>
      <c r="F4643" s="5"/>
      <c r="G4643" s="5"/>
      <c r="H4643" s="5"/>
      <c r="I4643" s="5"/>
      <c r="J4643" s="5"/>
      <c r="K4643" s="5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</row>
    <row r="4644" spans="5:30" ht="15">
      <c r="E4644" s="9"/>
      <c r="F4644" s="5"/>
      <c r="G4644" s="5"/>
      <c r="H4644" s="5"/>
      <c r="I4644" s="5"/>
      <c r="J4644" s="5"/>
      <c r="K4644" s="5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</row>
    <row r="4645" spans="5:30" ht="15">
      <c r="E4645" s="9"/>
      <c r="F4645" s="5"/>
      <c r="G4645" s="5"/>
      <c r="H4645" s="5"/>
      <c r="I4645" s="5"/>
      <c r="J4645" s="5"/>
      <c r="K4645" s="5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</row>
    <row r="4646" spans="5:30" ht="15">
      <c r="E4646" s="9"/>
      <c r="F4646" s="5"/>
      <c r="G4646" s="5"/>
      <c r="H4646" s="5"/>
      <c r="I4646" s="5"/>
      <c r="J4646" s="5"/>
      <c r="K4646" s="5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</row>
    <row r="4647" spans="5:30" ht="15">
      <c r="E4647" s="9"/>
      <c r="F4647" s="5"/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</row>
    <row r="4648" spans="5:30" ht="15">
      <c r="E4648" s="9"/>
      <c r="F4648" s="5"/>
      <c r="G4648" s="5"/>
      <c r="H4648" s="5"/>
      <c r="I4648" s="5"/>
      <c r="J4648" s="5"/>
      <c r="K4648" s="5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</row>
    <row r="4649" spans="5:30" ht="15">
      <c r="E4649" s="9"/>
      <c r="F4649" s="5"/>
      <c r="G4649" s="5"/>
      <c r="H4649" s="5"/>
      <c r="I4649" s="5"/>
      <c r="J4649" s="5"/>
      <c r="K4649" s="5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</row>
    <row r="4650" spans="5:30" ht="15">
      <c r="E4650" s="9"/>
      <c r="F4650" s="5"/>
      <c r="G4650" s="5"/>
      <c r="H4650" s="5"/>
      <c r="I4650" s="5"/>
      <c r="J4650" s="5"/>
      <c r="K4650" s="5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</row>
    <row r="4651" spans="5:30" ht="15">
      <c r="E4651" s="9"/>
      <c r="F4651" s="5"/>
      <c r="G4651" s="5"/>
      <c r="H4651" s="5"/>
      <c r="I4651" s="5"/>
      <c r="J4651" s="5"/>
      <c r="K4651" s="5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</row>
    <row r="4652" spans="5:30" ht="15">
      <c r="E4652" s="9"/>
      <c r="F4652" s="5"/>
      <c r="G4652" s="5"/>
      <c r="H4652" s="5"/>
      <c r="I4652" s="5"/>
      <c r="J4652" s="5"/>
      <c r="K4652" s="5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</row>
    <row r="4653" spans="5:30" ht="15">
      <c r="E4653" s="9"/>
      <c r="F4653" s="5"/>
      <c r="G4653" s="5"/>
      <c r="H4653" s="5"/>
      <c r="I4653" s="5"/>
      <c r="J4653" s="5"/>
      <c r="K4653" s="5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</row>
    <row r="4654" spans="5:30" ht="15">
      <c r="E4654" s="9"/>
      <c r="F4654" s="5"/>
      <c r="G4654" s="5"/>
      <c r="H4654" s="5"/>
      <c r="I4654" s="5"/>
      <c r="J4654" s="5"/>
      <c r="K4654" s="5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</row>
    <row r="4655" spans="5:30" ht="15">
      <c r="E4655" s="9"/>
      <c r="F4655" s="5"/>
      <c r="G4655" s="5"/>
      <c r="H4655" s="5"/>
      <c r="I4655" s="5"/>
      <c r="J4655" s="5"/>
      <c r="K4655" s="5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</row>
    <row r="4656" spans="5:30" ht="15">
      <c r="E4656" s="9"/>
      <c r="F4656" s="5"/>
      <c r="G4656" s="5"/>
      <c r="H4656" s="5"/>
      <c r="I4656" s="5"/>
      <c r="J4656" s="5"/>
      <c r="K4656" s="5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</row>
    <row r="4657" spans="5:30" ht="15">
      <c r="E4657" s="9"/>
      <c r="F4657" s="5"/>
      <c r="G4657" s="5"/>
      <c r="H4657" s="5"/>
      <c r="I4657" s="5"/>
      <c r="J4657" s="5"/>
      <c r="K4657" s="5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</row>
    <row r="4658" spans="5:30" ht="15">
      <c r="E4658" s="9"/>
      <c r="F4658" s="5"/>
      <c r="G4658" s="5"/>
      <c r="H4658" s="5"/>
      <c r="I4658" s="5"/>
      <c r="J4658" s="5"/>
      <c r="K4658" s="5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</row>
    <row r="4659" spans="5:30" ht="15">
      <c r="E4659" s="9"/>
      <c r="F4659" s="5"/>
      <c r="G4659" s="5"/>
      <c r="H4659" s="5"/>
      <c r="I4659" s="5"/>
      <c r="J4659" s="5"/>
      <c r="K4659" s="5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</row>
    <row r="4660" spans="5:30" ht="15">
      <c r="E4660" s="9"/>
      <c r="F4660" s="5"/>
      <c r="G4660" s="5"/>
      <c r="H4660" s="5"/>
      <c r="I4660" s="5"/>
      <c r="J4660" s="5"/>
      <c r="K4660" s="5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</row>
    <row r="4661" spans="5:30" ht="15">
      <c r="E4661" s="9"/>
      <c r="F4661" s="5"/>
      <c r="G4661" s="5"/>
      <c r="H4661" s="5"/>
      <c r="I4661" s="5"/>
      <c r="J4661" s="5"/>
      <c r="K4661" s="5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</row>
    <row r="4662" spans="5:30" ht="15">
      <c r="E4662" s="9"/>
      <c r="F4662" s="5"/>
      <c r="G4662" s="5"/>
      <c r="H4662" s="5"/>
      <c r="I4662" s="5"/>
      <c r="J4662" s="5"/>
      <c r="K4662" s="5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</row>
    <row r="4663" spans="5:30" ht="15">
      <c r="E4663" s="9"/>
      <c r="F4663" s="5"/>
      <c r="G4663" s="5"/>
      <c r="H4663" s="5"/>
      <c r="I4663" s="5"/>
      <c r="J4663" s="5"/>
      <c r="K4663" s="5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</row>
    <row r="4664" spans="5:30" ht="15">
      <c r="E4664" s="9"/>
      <c r="F4664" s="5"/>
      <c r="G4664" s="5"/>
      <c r="H4664" s="5"/>
      <c r="I4664" s="5"/>
      <c r="J4664" s="5"/>
      <c r="K4664" s="5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</row>
    <row r="4665" spans="5:30" ht="15">
      <c r="E4665" s="9"/>
      <c r="F4665" s="5"/>
      <c r="G4665" s="5"/>
      <c r="H4665" s="5"/>
      <c r="I4665" s="5"/>
      <c r="J4665" s="5"/>
      <c r="K4665" s="5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</row>
    <row r="4666" spans="5:30" ht="15">
      <c r="E4666" s="9"/>
      <c r="F4666" s="5"/>
      <c r="G4666" s="5"/>
      <c r="H4666" s="5"/>
      <c r="I4666" s="5"/>
      <c r="J4666" s="5"/>
      <c r="K4666" s="5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</row>
    <row r="4667" spans="5:30" ht="15">
      <c r="E4667" s="9"/>
      <c r="F4667" s="5"/>
      <c r="G4667" s="5"/>
      <c r="H4667" s="5"/>
      <c r="I4667" s="5"/>
      <c r="J4667" s="5"/>
      <c r="K4667" s="5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</row>
    <row r="4668" spans="5:30" ht="15">
      <c r="E4668" s="9"/>
      <c r="F4668" s="5"/>
      <c r="G4668" s="5"/>
      <c r="H4668" s="5"/>
      <c r="I4668" s="5"/>
      <c r="J4668" s="5"/>
      <c r="K4668" s="5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</row>
    <row r="4669" spans="5:30" ht="15">
      <c r="E4669" s="9"/>
      <c r="F4669" s="5"/>
      <c r="G4669" s="5"/>
      <c r="H4669" s="5"/>
      <c r="I4669" s="5"/>
      <c r="J4669" s="5"/>
      <c r="K4669" s="5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</row>
    <row r="4670" spans="5:30" ht="15">
      <c r="E4670" s="9"/>
      <c r="F4670" s="5"/>
      <c r="G4670" s="5"/>
      <c r="H4670" s="5"/>
      <c r="I4670" s="5"/>
      <c r="J4670" s="5"/>
      <c r="K4670" s="5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</row>
    <row r="4671" spans="5:30" ht="15">
      <c r="E4671" s="9"/>
      <c r="F4671" s="5"/>
      <c r="G4671" s="5"/>
      <c r="H4671" s="5"/>
      <c r="I4671" s="5"/>
      <c r="J4671" s="5"/>
      <c r="K4671" s="5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</row>
    <row r="4672" spans="5:30" ht="15">
      <c r="E4672" s="9"/>
      <c r="F4672" s="5"/>
      <c r="G4672" s="5"/>
      <c r="H4672" s="5"/>
      <c r="I4672" s="5"/>
      <c r="J4672" s="5"/>
      <c r="K4672" s="5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</row>
    <row r="4673" spans="5:30" ht="15">
      <c r="E4673" s="9"/>
      <c r="F4673" s="5"/>
      <c r="G4673" s="5"/>
      <c r="H4673" s="5"/>
      <c r="I4673" s="5"/>
      <c r="J4673" s="5"/>
      <c r="K4673" s="5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</row>
    <row r="4674" spans="5:30" ht="15">
      <c r="E4674" s="9"/>
      <c r="F4674" s="5"/>
      <c r="G4674" s="5"/>
      <c r="H4674" s="5"/>
      <c r="I4674" s="5"/>
      <c r="J4674" s="5"/>
      <c r="K4674" s="5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</row>
    <row r="4675" spans="5:30" ht="15">
      <c r="E4675" s="9"/>
      <c r="F4675" s="5"/>
      <c r="G4675" s="5"/>
      <c r="H4675" s="5"/>
      <c r="I4675" s="5"/>
      <c r="J4675" s="5"/>
      <c r="K4675" s="5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</row>
    <row r="4676" spans="5:30" ht="15">
      <c r="E4676" s="9"/>
      <c r="F4676" s="5"/>
      <c r="G4676" s="5"/>
      <c r="H4676" s="5"/>
      <c r="I4676" s="5"/>
      <c r="J4676" s="5"/>
      <c r="K4676" s="5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</row>
    <row r="4677" spans="5:30" ht="15">
      <c r="E4677" s="9"/>
      <c r="F4677" s="5"/>
      <c r="G4677" s="5"/>
      <c r="H4677" s="5"/>
      <c r="I4677" s="5"/>
      <c r="J4677" s="5"/>
      <c r="K4677" s="5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</row>
    <row r="4678" spans="5:30" ht="15">
      <c r="E4678" s="9"/>
      <c r="F4678" s="5"/>
      <c r="G4678" s="5"/>
      <c r="H4678" s="5"/>
      <c r="I4678" s="5"/>
      <c r="J4678" s="5"/>
      <c r="K4678" s="5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</row>
    <row r="4679" spans="5:30" ht="15">
      <c r="E4679" s="9"/>
      <c r="F4679" s="5"/>
      <c r="G4679" s="5"/>
      <c r="H4679" s="5"/>
      <c r="I4679" s="5"/>
      <c r="J4679" s="5"/>
      <c r="K4679" s="5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</row>
    <row r="4680" spans="5:30" ht="15">
      <c r="E4680" s="9"/>
      <c r="F4680" s="5"/>
      <c r="G4680" s="5"/>
      <c r="H4680" s="5"/>
      <c r="I4680" s="5"/>
      <c r="J4680" s="5"/>
      <c r="K4680" s="5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</row>
    <row r="4681" spans="5:30" ht="15">
      <c r="E4681" s="9"/>
      <c r="F4681" s="5"/>
      <c r="G4681" s="5"/>
      <c r="H4681" s="5"/>
      <c r="I4681" s="5"/>
      <c r="J4681" s="5"/>
      <c r="K4681" s="5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</row>
    <row r="4682" spans="5:30" ht="15">
      <c r="E4682" s="9"/>
      <c r="F4682" s="5"/>
      <c r="G4682" s="5"/>
      <c r="H4682" s="5"/>
      <c r="I4682" s="5"/>
      <c r="J4682" s="5"/>
      <c r="K4682" s="5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</row>
    <row r="4683" spans="5:30" ht="15">
      <c r="E4683" s="9"/>
      <c r="F4683" s="5"/>
      <c r="G4683" s="5"/>
      <c r="H4683" s="5"/>
      <c r="I4683" s="5"/>
      <c r="J4683" s="5"/>
      <c r="K4683" s="5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</row>
    <row r="4684" spans="5:30" ht="15">
      <c r="E4684" s="9"/>
      <c r="F4684" s="5"/>
      <c r="G4684" s="5"/>
      <c r="H4684" s="5"/>
      <c r="I4684" s="5"/>
      <c r="J4684" s="5"/>
      <c r="K4684" s="5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</row>
    <row r="4685" spans="5:30" ht="15">
      <c r="E4685" s="9"/>
      <c r="F4685" s="5"/>
      <c r="G4685" s="5"/>
      <c r="H4685" s="5"/>
      <c r="I4685" s="5"/>
      <c r="J4685" s="5"/>
      <c r="K4685" s="5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</row>
    <row r="4686" spans="5:30" ht="15">
      <c r="E4686" s="9"/>
      <c r="F4686" s="5"/>
      <c r="G4686" s="5"/>
      <c r="H4686" s="5"/>
      <c r="I4686" s="5"/>
      <c r="J4686" s="5"/>
      <c r="K4686" s="5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</row>
    <row r="4687" spans="5:30" ht="15">
      <c r="E4687" s="9"/>
      <c r="F4687" s="5"/>
      <c r="G4687" s="5"/>
      <c r="H4687" s="5"/>
      <c r="I4687" s="5"/>
      <c r="J4687" s="5"/>
      <c r="K4687" s="5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</row>
    <row r="4688" spans="5:30" ht="15">
      <c r="E4688" s="9"/>
      <c r="F4688" s="5"/>
      <c r="G4688" s="5"/>
      <c r="H4688" s="5"/>
      <c r="I4688" s="5"/>
      <c r="J4688" s="5"/>
      <c r="K4688" s="5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</row>
    <row r="4689" spans="5:30" ht="15">
      <c r="E4689" s="9"/>
      <c r="F4689" s="5"/>
      <c r="G4689" s="5"/>
      <c r="H4689" s="5"/>
      <c r="I4689" s="5"/>
      <c r="J4689" s="5"/>
      <c r="K4689" s="5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</row>
    <row r="4690" spans="5:30" ht="15">
      <c r="E4690" s="9"/>
      <c r="F4690" s="5"/>
      <c r="G4690" s="5"/>
      <c r="H4690" s="5"/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</row>
    <row r="4691" spans="5:30" ht="15">
      <c r="E4691" s="9"/>
      <c r="F4691" s="5"/>
      <c r="G4691" s="5"/>
      <c r="H4691" s="5"/>
      <c r="I4691" s="5"/>
      <c r="J4691" s="5"/>
      <c r="K4691" s="5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</row>
    <row r="4692" spans="5:30" ht="15">
      <c r="E4692" s="9"/>
      <c r="F4692" s="5"/>
      <c r="G4692" s="5"/>
      <c r="H4692" s="5"/>
      <c r="I4692" s="5"/>
      <c r="J4692" s="5"/>
      <c r="K4692" s="5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</row>
    <row r="4693" spans="5:30" ht="15">
      <c r="E4693" s="9"/>
      <c r="F4693" s="5"/>
      <c r="G4693" s="5"/>
      <c r="H4693" s="5"/>
      <c r="I4693" s="5"/>
      <c r="J4693" s="5"/>
      <c r="K4693" s="5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</row>
    <row r="4694" spans="5:30" ht="15">
      <c r="E4694" s="9"/>
      <c r="F4694" s="5"/>
      <c r="G4694" s="5"/>
      <c r="H4694" s="5"/>
      <c r="I4694" s="5"/>
      <c r="J4694" s="5"/>
      <c r="K4694" s="5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</row>
    <row r="4695" spans="5:30" ht="15">
      <c r="E4695" s="9"/>
      <c r="F4695" s="5"/>
      <c r="G4695" s="5"/>
      <c r="H4695" s="5"/>
      <c r="I4695" s="5"/>
      <c r="J4695" s="5"/>
      <c r="K4695" s="5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</row>
    <row r="4696" spans="5:30" ht="15">
      <c r="E4696" s="9"/>
      <c r="F4696" s="5"/>
      <c r="G4696" s="5"/>
      <c r="H4696" s="5"/>
      <c r="I4696" s="5"/>
      <c r="J4696" s="5"/>
      <c r="K4696" s="5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</row>
    <row r="4697" spans="5:30" ht="15">
      <c r="E4697" s="9"/>
      <c r="F4697" s="5"/>
      <c r="G4697" s="5"/>
      <c r="H4697" s="5"/>
      <c r="I4697" s="5"/>
      <c r="J4697" s="5"/>
      <c r="K4697" s="5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</row>
    <row r="4698" spans="5:30" ht="15">
      <c r="E4698" s="9"/>
      <c r="F4698" s="5"/>
      <c r="G4698" s="5"/>
      <c r="H4698" s="5"/>
      <c r="I4698" s="5"/>
      <c r="J4698" s="5"/>
      <c r="K4698" s="5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</row>
    <row r="4699" spans="5:30" ht="15">
      <c r="E4699" s="9"/>
      <c r="F4699" s="5"/>
      <c r="G4699" s="5"/>
      <c r="H4699" s="5"/>
      <c r="I4699" s="5"/>
      <c r="J4699" s="5"/>
      <c r="K4699" s="5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</row>
    <row r="4700" spans="5:30" ht="15">
      <c r="E4700" s="9"/>
      <c r="F4700" s="5"/>
      <c r="G4700" s="5"/>
      <c r="H4700" s="5"/>
      <c r="I4700" s="5"/>
      <c r="J4700" s="5"/>
      <c r="K4700" s="5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</row>
    <row r="4701" spans="5:30" ht="15">
      <c r="E4701" s="9"/>
      <c r="F4701" s="5"/>
      <c r="G4701" s="5"/>
      <c r="H4701" s="5"/>
      <c r="I4701" s="5"/>
      <c r="J4701" s="5"/>
      <c r="K4701" s="5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</row>
    <row r="4702" spans="5:30" ht="15">
      <c r="E4702" s="9"/>
      <c r="F4702" s="5"/>
      <c r="G4702" s="5"/>
      <c r="H4702" s="5"/>
      <c r="I4702" s="5"/>
      <c r="J4702" s="5"/>
      <c r="K4702" s="5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</row>
    <row r="4703" spans="5:30" ht="15">
      <c r="E4703" s="9"/>
      <c r="F4703" s="5"/>
      <c r="G4703" s="5"/>
      <c r="H4703" s="5"/>
      <c r="I4703" s="5"/>
      <c r="J4703" s="5"/>
      <c r="K4703" s="5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</row>
    <row r="4704" spans="5:30" ht="15">
      <c r="E4704" s="9"/>
      <c r="F4704" s="5"/>
      <c r="G4704" s="5"/>
      <c r="H4704" s="5"/>
      <c r="I4704" s="5"/>
      <c r="J4704" s="5"/>
      <c r="K4704" s="5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</row>
    <row r="4705" spans="5:30" ht="15">
      <c r="E4705" s="9"/>
      <c r="F4705" s="5"/>
      <c r="G4705" s="5"/>
      <c r="H4705" s="5"/>
      <c r="I4705" s="5"/>
      <c r="J4705" s="5"/>
      <c r="K4705" s="5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</row>
    <row r="4706" spans="5:30" ht="15">
      <c r="E4706" s="9"/>
      <c r="F4706" s="5"/>
      <c r="G4706" s="5"/>
      <c r="H4706" s="5"/>
      <c r="I4706" s="5"/>
      <c r="J4706" s="5"/>
      <c r="K4706" s="5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</row>
    <row r="4707" spans="5:30" ht="15">
      <c r="E4707" s="9"/>
      <c r="F4707" s="5"/>
      <c r="G4707" s="5"/>
      <c r="H4707" s="5"/>
      <c r="I4707" s="5"/>
      <c r="J4707" s="5"/>
      <c r="K4707" s="5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</row>
    <row r="4708" spans="5:30" ht="15">
      <c r="E4708" s="9"/>
      <c r="F4708" s="5"/>
      <c r="G4708" s="5"/>
      <c r="H4708" s="5"/>
      <c r="I4708" s="5"/>
      <c r="J4708" s="5"/>
      <c r="K4708" s="5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</row>
    <row r="4709" spans="5:30" ht="15">
      <c r="E4709" s="9"/>
      <c r="F4709" s="5"/>
      <c r="G4709" s="5"/>
      <c r="H4709" s="5"/>
      <c r="I4709" s="5"/>
      <c r="J4709" s="5"/>
      <c r="K4709" s="5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</row>
    <row r="4710" spans="5:30" ht="15">
      <c r="E4710" s="9"/>
      <c r="F4710" s="5"/>
      <c r="G4710" s="5"/>
      <c r="H4710" s="5"/>
      <c r="I4710" s="5"/>
      <c r="J4710" s="5"/>
      <c r="K4710" s="5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</row>
    <row r="4711" spans="5:30" ht="15">
      <c r="E4711" s="9"/>
      <c r="F4711" s="5"/>
      <c r="G4711" s="5"/>
      <c r="H4711" s="5"/>
      <c r="I4711" s="5"/>
      <c r="J4711" s="5"/>
      <c r="K4711" s="5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</row>
    <row r="4712" spans="5:30" ht="15">
      <c r="E4712" s="9"/>
      <c r="F4712" s="5"/>
      <c r="G4712" s="5"/>
      <c r="H4712" s="5"/>
      <c r="I4712" s="5"/>
      <c r="J4712" s="5"/>
      <c r="K4712" s="5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</row>
    <row r="4713" spans="5:30" ht="15">
      <c r="E4713" s="9"/>
      <c r="F4713" s="5"/>
      <c r="G4713" s="5"/>
      <c r="H4713" s="5"/>
      <c r="I4713" s="5"/>
      <c r="J4713" s="5"/>
      <c r="K4713" s="5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</row>
    <row r="4714" spans="5:30" ht="15">
      <c r="E4714" s="9"/>
      <c r="F4714" s="5"/>
      <c r="G4714" s="5"/>
      <c r="H4714" s="5"/>
      <c r="I4714" s="5"/>
      <c r="J4714" s="5"/>
      <c r="K4714" s="5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</row>
    <row r="4715" spans="5:30" ht="15">
      <c r="E4715" s="9"/>
      <c r="F4715" s="5"/>
      <c r="G4715" s="5"/>
      <c r="H4715" s="5"/>
      <c r="I4715" s="5"/>
      <c r="J4715" s="5"/>
      <c r="K4715" s="5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</row>
    <row r="4716" spans="5:30" ht="15">
      <c r="E4716" s="9"/>
      <c r="F4716" s="5"/>
      <c r="G4716" s="5"/>
      <c r="H4716" s="5"/>
      <c r="I4716" s="5"/>
      <c r="J4716" s="5"/>
      <c r="K4716" s="5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</row>
    <row r="4717" spans="5:30" ht="15">
      <c r="E4717" s="9"/>
      <c r="F4717" s="5"/>
      <c r="G4717" s="5"/>
      <c r="H4717" s="5"/>
      <c r="I4717" s="5"/>
      <c r="J4717" s="5"/>
      <c r="K4717" s="5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</row>
    <row r="4718" spans="5:30" ht="15">
      <c r="E4718" s="9"/>
      <c r="F4718" s="5"/>
      <c r="G4718" s="5"/>
      <c r="H4718" s="5"/>
      <c r="I4718" s="5"/>
      <c r="J4718" s="5"/>
      <c r="K4718" s="5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</row>
    <row r="4719" spans="5:30" ht="15">
      <c r="E4719" s="9"/>
      <c r="F4719" s="5"/>
      <c r="G4719" s="5"/>
      <c r="H4719" s="5"/>
      <c r="I4719" s="5"/>
      <c r="J4719" s="5"/>
      <c r="K4719" s="5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</row>
    <row r="4720" spans="5:30" ht="15">
      <c r="E4720" s="9"/>
      <c r="F4720" s="5"/>
      <c r="G4720" s="5"/>
      <c r="H4720" s="5"/>
      <c r="I4720" s="5"/>
      <c r="J4720" s="5"/>
      <c r="K4720" s="5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</row>
    <row r="4721" spans="5:30" ht="15">
      <c r="E4721" s="9"/>
      <c r="F4721" s="5"/>
      <c r="G4721" s="5"/>
      <c r="H4721" s="5"/>
      <c r="I4721" s="5"/>
      <c r="J4721" s="5"/>
      <c r="K4721" s="5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</row>
    <row r="4722" spans="5:30" ht="15">
      <c r="E4722" s="9"/>
      <c r="F4722" s="5"/>
      <c r="G4722" s="5"/>
      <c r="H4722" s="5"/>
      <c r="I4722" s="5"/>
      <c r="J4722" s="5"/>
      <c r="K4722" s="5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</row>
    <row r="4723" spans="5:30" ht="15">
      <c r="E4723" s="9"/>
      <c r="F4723" s="5"/>
      <c r="G4723" s="5"/>
      <c r="H4723" s="5"/>
      <c r="I4723" s="5"/>
      <c r="J4723" s="5"/>
      <c r="K4723" s="5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</row>
    <row r="4724" spans="5:30" ht="15">
      <c r="E4724" s="9"/>
      <c r="F4724" s="5"/>
      <c r="G4724" s="5"/>
      <c r="H4724" s="5"/>
      <c r="I4724" s="5"/>
      <c r="J4724" s="5"/>
      <c r="K4724" s="5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</row>
    <row r="4725" spans="5:30" ht="15">
      <c r="E4725" s="9"/>
      <c r="F4725" s="5"/>
      <c r="G4725" s="5"/>
      <c r="H4725" s="5"/>
      <c r="I4725" s="5"/>
      <c r="J4725" s="5"/>
      <c r="K4725" s="5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</row>
    <row r="4726" spans="5:30" ht="15">
      <c r="E4726" s="9"/>
      <c r="F4726" s="5"/>
      <c r="G4726" s="5"/>
      <c r="H4726" s="5"/>
      <c r="I4726" s="5"/>
      <c r="J4726" s="5"/>
      <c r="K4726" s="5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</row>
    <row r="4727" spans="5:30" ht="15">
      <c r="E4727" s="9"/>
      <c r="F4727" s="5"/>
      <c r="G4727" s="5"/>
      <c r="H4727" s="5"/>
      <c r="I4727" s="5"/>
      <c r="J4727" s="5"/>
      <c r="K4727" s="5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</row>
    <row r="4728" spans="5:30" ht="15">
      <c r="E4728" s="9"/>
      <c r="F4728" s="5"/>
      <c r="G4728" s="5"/>
      <c r="H4728" s="5"/>
      <c r="I4728" s="5"/>
      <c r="J4728" s="5"/>
      <c r="K4728" s="5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</row>
    <row r="4729" spans="5:30" ht="15">
      <c r="E4729" s="9"/>
      <c r="F4729" s="5"/>
      <c r="G4729" s="5"/>
      <c r="H4729" s="5"/>
      <c r="I4729" s="5"/>
      <c r="J4729" s="5"/>
      <c r="K4729" s="5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</row>
    <row r="4730" spans="5:30" ht="15">
      <c r="E4730" s="9"/>
      <c r="F4730" s="5"/>
      <c r="G4730" s="5"/>
      <c r="H4730" s="5"/>
      <c r="I4730" s="5"/>
      <c r="J4730" s="5"/>
      <c r="K4730" s="5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</row>
    <row r="4731" spans="5:30" ht="15">
      <c r="E4731" s="9"/>
      <c r="F4731" s="5"/>
      <c r="G4731" s="5"/>
      <c r="H4731" s="5"/>
      <c r="I4731" s="5"/>
      <c r="J4731" s="5"/>
      <c r="K4731" s="5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</row>
    <row r="4732" spans="5:30" ht="15">
      <c r="E4732" s="9"/>
      <c r="F4732" s="5"/>
      <c r="G4732" s="5"/>
      <c r="H4732" s="5"/>
      <c r="I4732" s="5"/>
      <c r="J4732" s="5"/>
      <c r="K4732" s="5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</row>
    <row r="4733" spans="5:30" ht="15">
      <c r="E4733" s="9"/>
      <c r="F4733" s="5"/>
      <c r="G4733" s="5"/>
      <c r="H4733" s="5"/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</row>
    <row r="4734" spans="5:30" ht="15">
      <c r="E4734" s="9"/>
      <c r="F4734" s="5"/>
      <c r="G4734" s="5"/>
      <c r="H4734" s="5"/>
      <c r="I4734" s="5"/>
      <c r="J4734" s="5"/>
      <c r="K4734" s="5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</row>
    <row r="4735" spans="5:30" ht="15">
      <c r="E4735" s="9"/>
      <c r="F4735" s="5"/>
      <c r="G4735" s="5"/>
      <c r="H4735" s="5"/>
      <c r="I4735" s="5"/>
      <c r="J4735" s="5"/>
      <c r="K4735" s="5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</row>
    <row r="4736" spans="5:30" ht="15">
      <c r="E4736" s="9"/>
      <c r="F4736" s="5"/>
      <c r="G4736" s="5"/>
      <c r="H4736" s="5"/>
      <c r="I4736" s="5"/>
      <c r="J4736" s="5"/>
      <c r="K4736" s="5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</row>
    <row r="4737" spans="5:30" ht="15">
      <c r="E4737" s="9"/>
      <c r="F4737" s="5"/>
      <c r="G4737" s="5"/>
      <c r="H4737" s="5"/>
      <c r="I4737" s="5"/>
      <c r="J4737" s="5"/>
      <c r="K4737" s="5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</row>
    <row r="4738" spans="5:30" ht="15">
      <c r="E4738" s="9"/>
      <c r="F4738" s="5"/>
      <c r="G4738" s="5"/>
      <c r="H4738" s="5"/>
      <c r="I4738" s="5"/>
      <c r="J4738" s="5"/>
      <c r="K4738" s="5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</row>
    <row r="4739" spans="5:30" ht="15">
      <c r="E4739" s="9"/>
      <c r="F4739" s="5"/>
      <c r="G4739" s="5"/>
      <c r="H4739" s="5"/>
      <c r="I4739" s="5"/>
      <c r="J4739" s="5"/>
      <c r="K4739" s="5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</row>
    <row r="4740" spans="5:30" ht="15">
      <c r="E4740" s="9"/>
      <c r="F4740" s="5"/>
      <c r="G4740" s="5"/>
      <c r="H4740" s="5"/>
      <c r="I4740" s="5"/>
      <c r="J4740" s="5"/>
      <c r="K4740" s="5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</row>
    <row r="4741" spans="5:30" ht="15">
      <c r="E4741" s="9"/>
      <c r="F4741" s="5"/>
      <c r="G4741" s="5"/>
      <c r="H4741" s="5"/>
      <c r="I4741" s="5"/>
      <c r="J4741" s="5"/>
      <c r="K4741" s="5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</row>
    <row r="4742" spans="5:30" ht="15">
      <c r="E4742" s="9"/>
      <c r="F4742" s="5"/>
      <c r="G4742" s="5"/>
      <c r="H4742" s="5"/>
      <c r="I4742" s="5"/>
      <c r="J4742" s="5"/>
      <c r="K4742" s="5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</row>
    <row r="4743" spans="5:30" ht="15">
      <c r="E4743" s="9"/>
      <c r="F4743" s="5"/>
      <c r="G4743" s="5"/>
      <c r="H4743" s="5"/>
      <c r="I4743" s="5"/>
      <c r="J4743" s="5"/>
      <c r="K4743" s="5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</row>
    <row r="4744" spans="5:30" ht="15">
      <c r="E4744" s="9"/>
      <c r="F4744" s="5"/>
      <c r="G4744" s="5"/>
      <c r="H4744" s="5"/>
      <c r="I4744" s="5"/>
      <c r="J4744" s="5"/>
      <c r="K4744" s="5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</row>
    <row r="4745" spans="5:30" ht="15">
      <c r="E4745" s="9"/>
      <c r="F4745" s="5"/>
      <c r="G4745" s="5"/>
      <c r="H4745" s="5"/>
      <c r="I4745" s="5"/>
      <c r="J4745" s="5"/>
      <c r="K4745" s="5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</row>
    <row r="4746" spans="5:30" ht="15">
      <c r="E4746" s="9"/>
      <c r="F4746" s="5"/>
      <c r="G4746" s="5"/>
      <c r="H4746" s="5"/>
      <c r="I4746" s="5"/>
      <c r="J4746" s="5"/>
      <c r="K4746" s="5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</row>
    <row r="4747" spans="5:30" ht="15">
      <c r="E4747" s="9"/>
      <c r="F4747" s="5"/>
      <c r="G4747" s="5"/>
      <c r="H4747" s="5"/>
      <c r="I4747" s="5"/>
      <c r="J4747" s="5"/>
      <c r="K4747" s="5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</row>
    <row r="4748" spans="5:30" ht="15">
      <c r="E4748" s="9"/>
      <c r="F4748" s="5"/>
      <c r="G4748" s="5"/>
      <c r="H4748" s="5"/>
      <c r="I4748" s="5"/>
      <c r="J4748" s="5"/>
      <c r="K4748" s="5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</row>
    <row r="4749" spans="5:30" ht="15">
      <c r="E4749" s="9"/>
      <c r="F4749" s="5"/>
      <c r="G4749" s="5"/>
      <c r="H4749" s="5"/>
      <c r="I4749" s="5"/>
      <c r="J4749" s="5"/>
      <c r="K4749" s="5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</row>
    <row r="4750" spans="5:30" ht="15">
      <c r="E4750" s="9"/>
      <c r="F4750" s="5"/>
      <c r="G4750" s="5"/>
      <c r="H4750" s="5"/>
      <c r="I4750" s="5"/>
      <c r="J4750" s="5"/>
      <c r="K4750" s="5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</row>
    <row r="4751" spans="5:30" ht="15">
      <c r="E4751" s="9"/>
      <c r="F4751" s="5"/>
      <c r="G4751" s="5"/>
      <c r="H4751" s="5"/>
      <c r="I4751" s="5"/>
      <c r="J4751" s="5"/>
      <c r="K4751" s="5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</row>
    <row r="4752" spans="5:30" ht="15">
      <c r="E4752" s="9"/>
      <c r="F4752" s="5"/>
      <c r="G4752" s="5"/>
      <c r="H4752" s="5"/>
      <c r="I4752" s="5"/>
      <c r="J4752" s="5"/>
      <c r="K4752" s="5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</row>
    <row r="4753" spans="5:30" ht="15">
      <c r="E4753" s="9"/>
      <c r="F4753" s="5"/>
      <c r="G4753" s="5"/>
      <c r="H4753" s="5"/>
      <c r="I4753" s="5"/>
      <c r="J4753" s="5"/>
      <c r="K4753" s="5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</row>
    <row r="4754" spans="5:30" ht="15">
      <c r="E4754" s="9"/>
      <c r="F4754" s="5"/>
      <c r="G4754" s="5"/>
      <c r="H4754" s="5"/>
      <c r="I4754" s="5"/>
      <c r="J4754" s="5"/>
      <c r="K4754" s="5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</row>
    <row r="4755" spans="5:30" ht="15">
      <c r="E4755" s="9"/>
      <c r="F4755" s="5"/>
      <c r="G4755" s="5"/>
      <c r="H4755" s="5"/>
      <c r="I4755" s="5"/>
      <c r="J4755" s="5"/>
      <c r="K4755" s="5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</row>
    <row r="4756" spans="5:30" ht="15">
      <c r="E4756" s="9"/>
      <c r="F4756" s="5"/>
      <c r="G4756" s="5"/>
      <c r="H4756" s="5"/>
      <c r="I4756" s="5"/>
      <c r="J4756" s="5"/>
      <c r="K4756" s="5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</row>
    <row r="4757" spans="5:30" ht="15">
      <c r="E4757" s="9"/>
      <c r="F4757" s="5"/>
      <c r="G4757" s="5"/>
      <c r="H4757" s="5"/>
      <c r="I4757" s="5"/>
      <c r="J4757" s="5"/>
      <c r="K4757" s="5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</row>
    <row r="4758" spans="5:30" ht="15">
      <c r="E4758" s="9"/>
      <c r="F4758" s="5"/>
      <c r="G4758" s="5"/>
      <c r="H4758" s="5"/>
      <c r="I4758" s="5"/>
      <c r="J4758" s="5"/>
      <c r="K4758" s="5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</row>
    <row r="4759" spans="5:30" ht="15">
      <c r="E4759" s="9"/>
      <c r="F4759" s="5"/>
      <c r="G4759" s="5"/>
      <c r="H4759" s="5"/>
      <c r="I4759" s="5"/>
      <c r="J4759" s="5"/>
      <c r="K4759" s="5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</row>
    <row r="4760" spans="5:30" ht="15">
      <c r="E4760" s="9"/>
      <c r="F4760" s="5"/>
      <c r="G4760" s="5"/>
      <c r="H4760" s="5"/>
      <c r="I4760" s="5"/>
      <c r="J4760" s="5"/>
      <c r="K4760" s="5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</row>
    <row r="4761" spans="5:30" ht="15">
      <c r="E4761" s="9"/>
      <c r="F4761" s="5"/>
      <c r="G4761" s="5"/>
      <c r="H4761" s="5"/>
      <c r="I4761" s="5"/>
      <c r="J4761" s="5"/>
      <c r="K4761" s="5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</row>
    <row r="4762" spans="5:30" ht="15">
      <c r="E4762" s="9"/>
      <c r="F4762" s="5"/>
      <c r="G4762" s="5"/>
      <c r="H4762" s="5"/>
      <c r="I4762" s="5"/>
      <c r="J4762" s="5"/>
      <c r="K4762" s="5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</row>
    <row r="4763" spans="5:30" ht="15">
      <c r="E4763" s="9"/>
      <c r="F4763" s="5"/>
      <c r="G4763" s="5"/>
      <c r="H4763" s="5"/>
      <c r="I4763" s="5"/>
      <c r="J4763" s="5"/>
      <c r="K4763" s="5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</row>
    <row r="4764" spans="5:30" ht="15">
      <c r="E4764" s="9"/>
      <c r="F4764" s="5"/>
      <c r="G4764" s="5"/>
      <c r="H4764" s="5"/>
      <c r="I4764" s="5"/>
      <c r="J4764" s="5"/>
      <c r="K4764" s="5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</row>
    <row r="4765" spans="5:30" ht="15">
      <c r="E4765" s="9"/>
      <c r="F4765" s="5"/>
      <c r="G4765" s="5"/>
      <c r="H4765" s="5"/>
      <c r="I4765" s="5"/>
      <c r="J4765" s="5"/>
      <c r="K4765" s="5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</row>
    <row r="4766" spans="5:30" ht="15">
      <c r="E4766" s="9"/>
      <c r="F4766" s="5"/>
      <c r="G4766" s="5"/>
      <c r="H4766" s="5"/>
      <c r="I4766" s="5"/>
      <c r="J4766" s="5"/>
      <c r="K4766" s="5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</row>
    <row r="4767" spans="5:30" ht="15">
      <c r="E4767" s="9"/>
      <c r="F4767" s="5"/>
      <c r="G4767" s="5"/>
      <c r="H4767" s="5"/>
      <c r="I4767" s="5"/>
      <c r="J4767" s="5"/>
      <c r="K4767" s="5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</row>
    <row r="4768" spans="5:30" ht="15">
      <c r="E4768" s="9"/>
      <c r="F4768" s="5"/>
      <c r="G4768" s="5"/>
      <c r="H4768" s="5"/>
      <c r="I4768" s="5"/>
      <c r="J4768" s="5"/>
      <c r="K4768" s="5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</row>
    <row r="4769" spans="5:30" ht="15">
      <c r="E4769" s="9"/>
      <c r="F4769" s="5"/>
      <c r="G4769" s="5"/>
      <c r="H4769" s="5"/>
      <c r="I4769" s="5"/>
      <c r="J4769" s="5"/>
      <c r="K4769" s="5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</row>
    <row r="4770" spans="5:30" ht="15">
      <c r="E4770" s="9"/>
      <c r="F4770" s="5"/>
      <c r="G4770" s="5"/>
      <c r="H4770" s="5"/>
      <c r="I4770" s="5"/>
      <c r="J4770" s="5"/>
      <c r="K4770" s="5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</row>
    <row r="4771" spans="5:30" ht="15">
      <c r="E4771" s="9"/>
      <c r="F4771" s="5"/>
      <c r="G4771" s="5"/>
      <c r="H4771" s="5"/>
      <c r="I4771" s="5"/>
      <c r="J4771" s="5"/>
      <c r="K4771" s="5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</row>
    <row r="4772" spans="5:30" ht="15">
      <c r="E4772" s="9"/>
      <c r="F4772" s="5"/>
      <c r="G4772" s="5"/>
      <c r="H4772" s="5"/>
      <c r="I4772" s="5"/>
      <c r="J4772" s="5"/>
      <c r="K4772" s="5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</row>
    <row r="4773" spans="5:30" ht="15">
      <c r="E4773" s="9"/>
      <c r="F4773" s="5"/>
      <c r="G4773" s="5"/>
      <c r="H4773" s="5"/>
      <c r="I4773" s="5"/>
      <c r="J4773" s="5"/>
      <c r="K4773" s="5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</row>
    <row r="4774" spans="5:30" ht="15">
      <c r="E4774" s="9"/>
      <c r="F4774" s="5"/>
      <c r="G4774" s="5"/>
      <c r="H4774" s="5"/>
      <c r="I4774" s="5"/>
      <c r="J4774" s="5"/>
      <c r="K4774" s="5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</row>
    <row r="4775" spans="5:30" ht="15">
      <c r="E4775" s="9"/>
      <c r="F4775" s="5"/>
      <c r="G4775" s="5"/>
      <c r="H4775" s="5"/>
      <c r="I4775" s="5"/>
      <c r="J4775" s="5"/>
      <c r="K4775" s="5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</row>
    <row r="4776" spans="5:30" ht="15">
      <c r="E4776" s="9"/>
      <c r="F4776" s="5"/>
      <c r="G4776" s="5"/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</row>
    <row r="4777" spans="5:30" ht="15">
      <c r="E4777" s="9"/>
      <c r="F4777" s="5"/>
      <c r="G4777" s="5"/>
      <c r="H4777" s="5"/>
      <c r="I4777" s="5"/>
      <c r="J4777" s="5"/>
      <c r="K4777" s="5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</row>
    <row r="4778" spans="5:30" ht="15">
      <c r="E4778" s="9"/>
      <c r="F4778" s="5"/>
      <c r="G4778" s="5"/>
      <c r="H4778" s="5"/>
      <c r="I4778" s="5"/>
      <c r="J4778" s="5"/>
      <c r="K4778" s="5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</row>
    <row r="4779" spans="5:30" ht="15">
      <c r="E4779" s="9"/>
      <c r="F4779" s="5"/>
      <c r="G4779" s="5"/>
      <c r="H4779" s="5"/>
      <c r="I4779" s="5"/>
      <c r="J4779" s="5"/>
      <c r="K4779" s="5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</row>
    <row r="4780" spans="5:30" ht="15">
      <c r="E4780" s="9"/>
      <c r="F4780" s="5"/>
      <c r="G4780" s="5"/>
      <c r="H4780" s="5"/>
      <c r="I4780" s="5"/>
      <c r="J4780" s="5"/>
      <c r="K4780" s="5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</row>
    <row r="4781" spans="5:30" ht="15">
      <c r="E4781" s="9"/>
      <c r="F4781" s="5"/>
      <c r="G4781" s="5"/>
      <c r="H4781" s="5"/>
      <c r="I4781" s="5"/>
      <c r="J4781" s="5"/>
      <c r="K4781" s="5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</row>
    <row r="4782" spans="5:30" ht="15">
      <c r="E4782" s="9"/>
      <c r="F4782" s="5"/>
      <c r="G4782" s="5"/>
      <c r="H4782" s="5"/>
      <c r="I4782" s="5"/>
      <c r="J4782" s="5"/>
      <c r="K4782" s="5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</row>
    <row r="4783" spans="5:30" ht="15">
      <c r="E4783" s="9"/>
      <c r="F4783" s="5"/>
      <c r="G4783" s="5"/>
      <c r="H4783" s="5"/>
      <c r="I4783" s="5"/>
      <c r="J4783" s="5"/>
      <c r="K4783" s="5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</row>
    <row r="4784" spans="5:30" ht="15">
      <c r="E4784" s="9"/>
      <c r="F4784" s="5"/>
      <c r="G4784" s="5"/>
      <c r="H4784" s="5"/>
      <c r="I4784" s="5"/>
      <c r="J4784" s="5"/>
      <c r="K4784" s="5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</row>
    <row r="4785" spans="5:30" ht="15">
      <c r="E4785" s="9"/>
      <c r="F4785" s="5"/>
      <c r="G4785" s="5"/>
      <c r="H4785" s="5"/>
      <c r="I4785" s="5"/>
      <c r="J4785" s="5"/>
      <c r="K4785" s="5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</row>
    <row r="4786" spans="5:30" ht="15">
      <c r="E4786" s="9"/>
      <c r="F4786" s="5"/>
      <c r="G4786" s="5"/>
      <c r="H4786" s="5"/>
      <c r="I4786" s="5"/>
      <c r="J4786" s="5"/>
      <c r="K4786" s="5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</row>
    <row r="4787" spans="5:30" ht="15">
      <c r="E4787" s="9"/>
      <c r="F4787" s="5"/>
      <c r="G4787" s="5"/>
      <c r="H4787" s="5"/>
      <c r="I4787" s="5"/>
      <c r="J4787" s="5"/>
      <c r="K4787" s="5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</row>
    <row r="4788" spans="5:30" ht="15">
      <c r="E4788" s="9"/>
      <c r="F4788" s="5"/>
      <c r="G4788" s="5"/>
      <c r="H4788" s="5"/>
      <c r="I4788" s="5"/>
      <c r="J4788" s="5"/>
      <c r="K4788" s="5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</row>
    <row r="4789" spans="5:30" ht="15">
      <c r="E4789" s="9"/>
      <c r="F4789" s="5"/>
      <c r="G4789" s="5"/>
      <c r="H4789" s="5"/>
      <c r="I4789" s="5"/>
      <c r="J4789" s="5"/>
      <c r="K4789" s="5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</row>
    <row r="4790" spans="5:30" ht="15">
      <c r="E4790" s="9"/>
      <c r="F4790" s="5"/>
      <c r="G4790" s="5"/>
      <c r="H4790" s="5"/>
      <c r="I4790" s="5"/>
      <c r="J4790" s="5"/>
      <c r="K4790" s="5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</row>
    <row r="4791" spans="5:30" ht="15">
      <c r="E4791" s="9"/>
      <c r="F4791" s="5"/>
      <c r="G4791" s="5"/>
      <c r="H4791" s="5"/>
      <c r="I4791" s="5"/>
      <c r="J4791" s="5"/>
      <c r="K4791" s="5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</row>
    <row r="4792" spans="5:30" ht="15">
      <c r="E4792" s="9"/>
      <c r="F4792" s="5"/>
      <c r="G4792" s="5"/>
      <c r="H4792" s="5"/>
      <c r="I4792" s="5"/>
      <c r="J4792" s="5"/>
      <c r="K4792" s="5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</row>
    <row r="4793" spans="5:30" ht="15">
      <c r="E4793" s="9"/>
      <c r="F4793" s="5"/>
      <c r="G4793" s="5"/>
      <c r="H4793" s="5"/>
      <c r="I4793" s="5"/>
      <c r="J4793" s="5"/>
      <c r="K4793" s="5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</row>
    <row r="4794" spans="5:30" ht="15">
      <c r="E4794" s="9"/>
      <c r="F4794" s="5"/>
      <c r="G4794" s="5"/>
      <c r="H4794" s="5"/>
      <c r="I4794" s="5"/>
      <c r="J4794" s="5"/>
      <c r="K4794" s="5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</row>
    <row r="4795" spans="5:30" ht="15">
      <c r="E4795" s="9"/>
      <c r="F4795" s="5"/>
      <c r="G4795" s="5"/>
      <c r="H4795" s="5"/>
      <c r="I4795" s="5"/>
      <c r="J4795" s="5"/>
      <c r="K4795" s="5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</row>
    <row r="4796" spans="5:30" ht="15">
      <c r="E4796" s="9"/>
      <c r="F4796" s="5"/>
      <c r="G4796" s="5"/>
      <c r="H4796" s="5"/>
      <c r="I4796" s="5"/>
      <c r="J4796" s="5"/>
      <c r="K4796" s="5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</row>
    <row r="4797" spans="5:30" ht="15">
      <c r="E4797" s="9"/>
      <c r="F4797" s="5"/>
      <c r="G4797" s="5"/>
      <c r="H4797" s="5"/>
      <c r="I4797" s="5"/>
      <c r="J4797" s="5"/>
      <c r="K4797" s="5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</row>
    <row r="4798" spans="5:30" ht="15">
      <c r="E4798" s="9"/>
      <c r="F4798" s="5"/>
      <c r="G4798" s="5"/>
      <c r="H4798" s="5"/>
      <c r="I4798" s="5"/>
      <c r="J4798" s="5"/>
      <c r="K4798" s="5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</row>
    <row r="4799" spans="5:30" ht="15">
      <c r="E4799" s="9"/>
      <c r="F4799" s="5"/>
      <c r="G4799" s="5"/>
      <c r="H4799" s="5"/>
      <c r="I4799" s="5"/>
      <c r="J4799" s="5"/>
      <c r="K4799" s="5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</row>
    <row r="4800" spans="5:30" ht="15">
      <c r="E4800" s="9"/>
      <c r="F4800" s="5"/>
      <c r="G4800" s="5"/>
      <c r="H4800" s="5"/>
      <c r="I4800" s="5"/>
      <c r="J4800" s="5"/>
      <c r="K4800" s="5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</row>
    <row r="4801" spans="5:30" ht="15">
      <c r="E4801" s="9"/>
      <c r="F4801" s="5"/>
      <c r="G4801" s="5"/>
      <c r="H4801" s="5"/>
      <c r="I4801" s="5"/>
      <c r="J4801" s="5"/>
      <c r="K4801" s="5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</row>
    <row r="4802" spans="5:30" ht="15">
      <c r="E4802" s="9"/>
      <c r="F4802" s="5"/>
      <c r="G4802" s="5"/>
      <c r="H4802" s="5"/>
      <c r="I4802" s="5"/>
      <c r="J4802" s="5"/>
      <c r="K4802" s="5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</row>
    <row r="4803" spans="5:30" ht="15">
      <c r="E4803" s="9"/>
      <c r="F4803" s="5"/>
      <c r="G4803" s="5"/>
      <c r="H4803" s="5"/>
      <c r="I4803" s="5"/>
      <c r="J4803" s="5"/>
      <c r="K4803" s="5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</row>
    <row r="4804" spans="5:30" ht="15">
      <c r="E4804" s="9"/>
      <c r="F4804" s="5"/>
      <c r="G4804" s="5"/>
      <c r="H4804" s="5"/>
      <c r="I4804" s="5"/>
      <c r="J4804" s="5"/>
      <c r="K4804" s="5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</row>
    <row r="4805" spans="5:30" ht="15">
      <c r="E4805" s="9"/>
      <c r="F4805" s="5"/>
      <c r="G4805" s="5"/>
      <c r="H4805" s="5"/>
      <c r="I4805" s="5"/>
      <c r="J4805" s="5"/>
      <c r="K4805" s="5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</row>
    <row r="4806" spans="5:30" ht="15">
      <c r="E4806" s="9"/>
      <c r="F4806" s="5"/>
      <c r="G4806" s="5"/>
      <c r="H4806" s="5"/>
      <c r="I4806" s="5"/>
      <c r="J4806" s="5"/>
      <c r="K4806" s="5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</row>
    <row r="4807" spans="5:30" ht="15">
      <c r="E4807" s="9"/>
      <c r="F4807" s="5"/>
      <c r="G4807" s="5"/>
      <c r="H4807" s="5"/>
      <c r="I4807" s="5"/>
      <c r="J4807" s="5"/>
      <c r="K4807" s="5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</row>
    <row r="4808" spans="5:30" ht="15">
      <c r="E4808" s="9"/>
      <c r="F4808" s="5"/>
      <c r="G4808" s="5"/>
      <c r="H4808" s="5"/>
      <c r="I4808" s="5"/>
      <c r="J4808" s="5"/>
      <c r="K4808" s="5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</row>
    <row r="4809" spans="5:30" ht="15">
      <c r="E4809" s="9"/>
      <c r="F4809" s="5"/>
      <c r="G4809" s="5"/>
      <c r="H4809" s="5"/>
      <c r="I4809" s="5"/>
      <c r="J4809" s="5"/>
      <c r="K4809" s="5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</row>
    <row r="4810" spans="5:30" ht="15">
      <c r="E4810" s="9"/>
      <c r="F4810" s="5"/>
      <c r="G4810" s="5"/>
      <c r="H4810" s="5"/>
      <c r="I4810" s="5"/>
      <c r="J4810" s="5"/>
      <c r="K4810" s="5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</row>
    <row r="4811" spans="5:30" ht="15">
      <c r="E4811" s="9"/>
      <c r="F4811" s="5"/>
      <c r="G4811" s="5"/>
      <c r="H4811" s="5"/>
      <c r="I4811" s="5"/>
      <c r="J4811" s="5"/>
      <c r="K4811" s="5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</row>
    <row r="4812" spans="5:30" ht="15">
      <c r="E4812" s="9"/>
      <c r="F4812" s="5"/>
      <c r="G4812" s="5"/>
      <c r="H4812" s="5"/>
      <c r="I4812" s="5"/>
      <c r="J4812" s="5"/>
      <c r="K4812" s="5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</row>
    <row r="4813" spans="5:30" ht="15">
      <c r="E4813" s="9"/>
      <c r="F4813" s="5"/>
      <c r="G4813" s="5"/>
      <c r="H4813" s="5"/>
      <c r="I4813" s="5"/>
      <c r="J4813" s="5"/>
      <c r="K4813" s="5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</row>
    <row r="4814" spans="5:30" ht="15">
      <c r="E4814" s="9"/>
      <c r="F4814" s="5"/>
      <c r="G4814" s="5"/>
      <c r="H4814" s="5"/>
      <c r="I4814" s="5"/>
      <c r="J4814" s="5"/>
      <c r="K4814" s="5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</row>
    <row r="4815" spans="5:30" ht="15">
      <c r="E4815" s="9"/>
      <c r="F4815" s="5"/>
      <c r="G4815" s="5"/>
      <c r="H4815" s="5"/>
      <c r="I4815" s="5"/>
      <c r="J4815" s="5"/>
      <c r="K4815" s="5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</row>
    <row r="4816" spans="5:30" ht="15">
      <c r="E4816" s="9"/>
      <c r="F4816" s="5"/>
      <c r="G4816" s="5"/>
      <c r="H4816" s="5"/>
      <c r="I4816" s="5"/>
      <c r="J4816" s="5"/>
      <c r="K4816" s="5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</row>
    <row r="4817" spans="5:30" ht="15">
      <c r="E4817" s="9"/>
      <c r="F4817" s="5"/>
      <c r="G4817" s="5"/>
      <c r="H4817" s="5"/>
      <c r="I4817" s="5"/>
      <c r="J4817" s="5"/>
      <c r="K4817" s="5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</row>
    <row r="4818" spans="5:30" ht="15">
      <c r="E4818" s="9"/>
      <c r="F4818" s="5"/>
      <c r="G4818" s="5"/>
      <c r="H4818" s="5"/>
      <c r="I4818" s="5"/>
      <c r="J4818" s="5"/>
      <c r="K4818" s="5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</row>
    <row r="4819" spans="5:30" ht="15">
      <c r="E4819" s="9"/>
      <c r="F4819" s="5"/>
      <c r="G4819" s="5"/>
      <c r="H4819" s="5"/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</row>
    <row r="4820" spans="5:30" ht="15">
      <c r="E4820" s="9"/>
      <c r="F4820" s="5"/>
      <c r="G4820" s="5"/>
      <c r="H4820" s="5"/>
      <c r="I4820" s="5"/>
      <c r="J4820" s="5"/>
      <c r="K4820" s="5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</row>
    <row r="4821" spans="5:30" ht="15">
      <c r="E4821" s="9"/>
      <c r="F4821" s="5"/>
      <c r="G4821" s="5"/>
      <c r="H4821" s="5"/>
      <c r="I4821" s="5"/>
      <c r="J4821" s="5"/>
      <c r="K4821" s="5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</row>
    <row r="4822" spans="5:30" ht="15">
      <c r="E4822" s="9"/>
      <c r="F4822" s="5"/>
      <c r="G4822" s="5"/>
      <c r="H4822" s="5"/>
      <c r="I4822" s="5"/>
      <c r="J4822" s="5"/>
      <c r="K4822" s="5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</row>
    <row r="4823" spans="5:30" ht="15">
      <c r="E4823" s="9"/>
      <c r="F4823" s="5"/>
      <c r="G4823" s="5"/>
      <c r="H4823" s="5"/>
      <c r="I4823" s="5"/>
      <c r="J4823" s="5"/>
      <c r="K4823" s="5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</row>
    <row r="4824" spans="5:30" ht="15">
      <c r="E4824" s="9"/>
      <c r="F4824" s="5"/>
      <c r="G4824" s="5"/>
      <c r="H4824" s="5"/>
      <c r="I4824" s="5"/>
      <c r="J4824" s="5"/>
      <c r="K4824" s="5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</row>
    <row r="4825" spans="5:30" ht="15">
      <c r="E4825" s="9"/>
      <c r="F4825" s="5"/>
      <c r="G4825" s="5"/>
      <c r="H4825" s="5"/>
      <c r="I4825" s="5"/>
      <c r="J4825" s="5"/>
      <c r="K4825" s="5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</row>
    <row r="4826" spans="5:30" ht="15">
      <c r="E4826" s="9"/>
      <c r="F4826" s="5"/>
      <c r="G4826" s="5"/>
      <c r="H4826" s="5"/>
      <c r="I4826" s="5"/>
      <c r="J4826" s="5"/>
      <c r="K4826" s="5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</row>
    <row r="4827" spans="5:30" ht="15">
      <c r="E4827" s="9"/>
      <c r="F4827" s="5"/>
      <c r="G4827" s="5"/>
      <c r="H4827" s="5"/>
      <c r="I4827" s="5"/>
      <c r="J4827" s="5"/>
      <c r="K4827" s="5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</row>
    <row r="4828" spans="5:30" ht="15">
      <c r="E4828" s="9"/>
      <c r="F4828" s="5"/>
      <c r="G4828" s="5"/>
      <c r="H4828" s="5"/>
      <c r="I4828" s="5"/>
      <c r="J4828" s="5"/>
      <c r="K4828" s="5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</row>
    <row r="4829" spans="5:30" ht="15">
      <c r="E4829" s="9"/>
      <c r="F4829" s="5"/>
      <c r="G4829" s="5"/>
      <c r="H4829" s="5"/>
      <c r="I4829" s="5"/>
      <c r="J4829" s="5"/>
      <c r="K4829" s="5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</row>
    <row r="4830" spans="5:30" ht="15">
      <c r="E4830" s="9"/>
      <c r="F4830" s="5"/>
      <c r="G4830" s="5"/>
      <c r="H4830" s="5"/>
      <c r="I4830" s="5"/>
      <c r="J4830" s="5"/>
      <c r="K4830" s="5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</row>
    <row r="4831" spans="5:30" ht="15">
      <c r="E4831" s="9"/>
      <c r="F4831" s="5"/>
      <c r="G4831" s="5"/>
      <c r="H4831" s="5"/>
      <c r="I4831" s="5"/>
      <c r="J4831" s="5"/>
      <c r="K4831" s="5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</row>
    <row r="4832" spans="5:30" ht="15">
      <c r="E4832" s="9"/>
      <c r="F4832" s="5"/>
      <c r="G4832" s="5"/>
      <c r="H4832" s="5"/>
      <c r="I4832" s="5"/>
      <c r="J4832" s="5"/>
      <c r="K4832" s="5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</row>
    <row r="4833" spans="5:30" ht="15">
      <c r="E4833" s="9"/>
      <c r="F4833" s="5"/>
      <c r="G4833" s="5"/>
      <c r="H4833" s="5"/>
      <c r="I4833" s="5"/>
      <c r="J4833" s="5"/>
      <c r="K4833" s="5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</row>
    <row r="4834" spans="5:30" ht="15">
      <c r="E4834" s="9"/>
      <c r="F4834" s="5"/>
      <c r="G4834" s="5"/>
      <c r="H4834" s="5"/>
      <c r="I4834" s="5"/>
      <c r="J4834" s="5"/>
      <c r="K4834" s="5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</row>
    <row r="4835" spans="5:30" ht="15">
      <c r="E4835" s="9"/>
      <c r="F4835" s="5"/>
      <c r="G4835" s="5"/>
      <c r="H4835" s="5"/>
      <c r="I4835" s="5"/>
      <c r="J4835" s="5"/>
      <c r="K4835" s="5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</row>
    <row r="4836" spans="5:30" ht="15">
      <c r="E4836" s="9"/>
      <c r="F4836" s="5"/>
      <c r="G4836" s="5"/>
      <c r="H4836" s="5"/>
      <c r="I4836" s="5"/>
      <c r="J4836" s="5"/>
      <c r="K4836" s="5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</row>
    <row r="4837" spans="5:30" ht="15">
      <c r="E4837" s="9"/>
      <c r="F4837" s="5"/>
      <c r="G4837" s="5"/>
      <c r="H4837" s="5"/>
      <c r="I4837" s="5"/>
      <c r="J4837" s="5"/>
      <c r="K4837" s="5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</row>
    <row r="4838" spans="5:30" ht="15">
      <c r="E4838" s="9"/>
      <c r="F4838" s="5"/>
      <c r="G4838" s="5"/>
      <c r="H4838" s="5"/>
      <c r="I4838" s="5"/>
      <c r="J4838" s="5"/>
      <c r="K4838" s="5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</row>
    <row r="4839" spans="5:30" ht="15">
      <c r="E4839" s="9"/>
      <c r="F4839" s="5"/>
      <c r="G4839" s="5"/>
      <c r="H4839" s="5"/>
      <c r="I4839" s="5"/>
      <c r="J4839" s="5"/>
      <c r="K4839" s="5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</row>
    <row r="4840" spans="5:30" ht="15">
      <c r="E4840" s="9"/>
      <c r="F4840" s="5"/>
      <c r="G4840" s="5"/>
      <c r="H4840" s="5"/>
      <c r="I4840" s="5"/>
      <c r="J4840" s="5"/>
      <c r="K4840" s="5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</row>
    <row r="4841" spans="5:30" ht="15">
      <c r="E4841" s="9"/>
      <c r="F4841" s="5"/>
      <c r="G4841" s="5"/>
      <c r="H4841" s="5"/>
      <c r="I4841" s="5"/>
      <c r="J4841" s="5"/>
      <c r="K4841" s="5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</row>
    <row r="4842" spans="5:30" ht="15">
      <c r="E4842" s="9"/>
      <c r="F4842" s="5"/>
      <c r="G4842" s="5"/>
      <c r="H4842" s="5"/>
      <c r="I4842" s="5"/>
      <c r="J4842" s="5"/>
      <c r="K4842" s="5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</row>
    <row r="4843" spans="5:30" ht="15">
      <c r="E4843" s="9"/>
      <c r="F4843" s="5"/>
      <c r="G4843" s="5"/>
      <c r="H4843" s="5"/>
      <c r="I4843" s="5"/>
      <c r="J4843" s="5"/>
      <c r="K4843" s="5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</row>
    <row r="4844" spans="5:30" ht="15">
      <c r="E4844" s="9"/>
      <c r="F4844" s="5"/>
      <c r="G4844" s="5"/>
      <c r="H4844" s="5"/>
      <c r="I4844" s="5"/>
      <c r="J4844" s="5"/>
      <c r="K4844" s="5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</row>
    <row r="4845" spans="5:30" ht="15">
      <c r="E4845" s="9"/>
      <c r="F4845" s="5"/>
      <c r="G4845" s="5"/>
      <c r="H4845" s="5"/>
      <c r="I4845" s="5"/>
      <c r="J4845" s="5"/>
      <c r="K4845" s="5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</row>
    <row r="4846" spans="5:30" ht="15">
      <c r="E4846" s="9"/>
      <c r="F4846" s="5"/>
      <c r="G4846" s="5"/>
      <c r="H4846" s="5"/>
      <c r="I4846" s="5"/>
      <c r="J4846" s="5"/>
      <c r="K4846" s="5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</row>
    <row r="4847" spans="5:30" ht="15">
      <c r="E4847" s="9"/>
      <c r="F4847" s="5"/>
      <c r="G4847" s="5"/>
      <c r="H4847" s="5"/>
      <c r="I4847" s="5"/>
      <c r="J4847" s="5"/>
      <c r="K4847" s="5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</row>
    <row r="4848" spans="5:30" ht="15">
      <c r="E4848" s="9"/>
      <c r="F4848" s="5"/>
      <c r="G4848" s="5"/>
      <c r="H4848" s="5"/>
      <c r="I4848" s="5"/>
      <c r="J4848" s="5"/>
      <c r="K4848" s="5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</row>
    <row r="4849" spans="5:30" ht="15">
      <c r="E4849" s="9"/>
      <c r="F4849" s="5"/>
      <c r="G4849" s="5"/>
      <c r="H4849" s="5"/>
      <c r="I4849" s="5"/>
      <c r="J4849" s="5"/>
      <c r="K4849" s="5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</row>
    <row r="4850" spans="5:30" ht="15">
      <c r="E4850" s="9"/>
      <c r="F4850" s="5"/>
      <c r="G4850" s="5"/>
      <c r="H4850" s="5"/>
      <c r="I4850" s="5"/>
      <c r="J4850" s="5"/>
      <c r="K4850" s="5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</row>
    <row r="4851" spans="5:30" ht="15">
      <c r="E4851" s="9"/>
      <c r="F4851" s="5"/>
      <c r="G4851" s="5"/>
      <c r="H4851" s="5"/>
      <c r="I4851" s="5"/>
      <c r="J4851" s="5"/>
      <c r="K4851" s="5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</row>
    <row r="4852" spans="5:30" ht="15">
      <c r="E4852" s="9"/>
      <c r="F4852" s="5"/>
      <c r="G4852" s="5"/>
      <c r="H4852" s="5"/>
      <c r="I4852" s="5"/>
      <c r="J4852" s="5"/>
      <c r="K4852" s="5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</row>
    <row r="4853" spans="5:30" ht="15">
      <c r="E4853" s="9"/>
      <c r="F4853" s="5"/>
      <c r="G4853" s="5"/>
      <c r="H4853" s="5"/>
      <c r="I4853" s="5"/>
      <c r="J4853" s="5"/>
      <c r="K4853" s="5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</row>
    <row r="4854" spans="5:30" ht="15">
      <c r="E4854" s="9"/>
      <c r="F4854" s="5"/>
      <c r="G4854" s="5"/>
      <c r="H4854" s="5"/>
      <c r="I4854" s="5"/>
      <c r="J4854" s="5"/>
      <c r="K4854" s="5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</row>
    <row r="4855" spans="5:30" ht="15">
      <c r="E4855" s="9"/>
      <c r="F4855" s="5"/>
      <c r="G4855" s="5"/>
      <c r="H4855" s="5"/>
      <c r="I4855" s="5"/>
      <c r="J4855" s="5"/>
      <c r="K4855" s="5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</row>
    <row r="4856" spans="5:30" ht="15">
      <c r="E4856" s="9"/>
      <c r="F4856" s="5"/>
      <c r="G4856" s="5"/>
      <c r="H4856" s="5"/>
      <c r="I4856" s="5"/>
      <c r="J4856" s="5"/>
      <c r="K4856" s="5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</row>
    <row r="4857" spans="5:30" ht="15">
      <c r="E4857" s="9"/>
      <c r="F4857" s="5"/>
      <c r="G4857" s="5"/>
      <c r="H4857" s="5"/>
      <c r="I4857" s="5"/>
      <c r="J4857" s="5"/>
      <c r="K4857" s="5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</row>
    <row r="4858" spans="5:30" ht="15">
      <c r="E4858" s="9"/>
      <c r="F4858" s="5"/>
      <c r="G4858" s="5"/>
      <c r="H4858" s="5"/>
      <c r="I4858" s="5"/>
      <c r="J4858" s="5"/>
      <c r="K4858" s="5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</row>
    <row r="4859" spans="5:30" ht="15">
      <c r="E4859" s="9"/>
      <c r="F4859" s="5"/>
      <c r="G4859" s="5"/>
      <c r="H4859" s="5"/>
      <c r="I4859" s="5"/>
      <c r="J4859" s="5"/>
      <c r="K4859" s="5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</row>
    <row r="4860" spans="5:30" ht="15">
      <c r="E4860" s="9"/>
      <c r="F4860" s="5"/>
      <c r="G4860" s="5"/>
      <c r="H4860" s="5"/>
      <c r="I4860" s="5"/>
      <c r="J4860" s="5"/>
      <c r="K4860" s="5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</row>
    <row r="4861" spans="5:30" ht="15">
      <c r="E4861" s="9"/>
      <c r="F4861" s="5"/>
      <c r="G4861" s="5"/>
      <c r="H4861" s="5"/>
      <c r="I4861" s="5"/>
      <c r="J4861" s="5"/>
      <c r="K4861" s="5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</row>
    <row r="4862" spans="5:30" ht="15">
      <c r="E4862" s="9"/>
      <c r="F4862" s="5"/>
      <c r="G4862" s="5"/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</row>
    <row r="4863" spans="5:30" ht="15">
      <c r="E4863" s="9"/>
      <c r="F4863" s="5"/>
      <c r="G4863" s="5"/>
      <c r="H4863" s="5"/>
      <c r="I4863" s="5"/>
      <c r="J4863" s="5"/>
      <c r="K4863" s="5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</row>
    <row r="4864" spans="5:30" ht="15">
      <c r="E4864" s="9"/>
      <c r="F4864" s="5"/>
      <c r="G4864" s="5"/>
      <c r="H4864" s="5"/>
      <c r="I4864" s="5"/>
      <c r="J4864" s="5"/>
      <c r="K4864" s="5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</row>
    <row r="4865" spans="5:30" ht="15">
      <c r="E4865" s="9"/>
      <c r="F4865" s="5"/>
      <c r="G4865" s="5"/>
      <c r="H4865" s="5"/>
      <c r="I4865" s="5"/>
      <c r="J4865" s="5"/>
      <c r="K4865" s="5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</row>
    <row r="4866" spans="5:30" ht="15">
      <c r="E4866" s="9"/>
      <c r="F4866" s="5"/>
      <c r="G4866" s="5"/>
      <c r="H4866" s="5"/>
      <c r="I4866" s="5"/>
      <c r="J4866" s="5"/>
      <c r="K4866" s="5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</row>
    <row r="4867" spans="5:30" ht="15">
      <c r="E4867" s="9"/>
      <c r="F4867" s="5"/>
      <c r="G4867" s="5"/>
      <c r="H4867" s="5"/>
      <c r="I4867" s="5"/>
      <c r="J4867" s="5"/>
      <c r="K4867" s="5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</row>
    <row r="4868" spans="5:30" ht="15">
      <c r="E4868" s="9"/>
      <c r="F4868" s="5"/>
      <c r="G4868" s="5"/>
      <c r="H4868" s="5"/>
      <c r="I4868" s="5"/>
      <c r="J4868" s="5"/>
      <c r="K4868" s="5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</row>
    <row r="4869" spans="5:30" ht="15">
      <c r="E4869" s="9"/>
      <c r="F4869" s="5"/>
      <c r="G4869" s="5"/>
      <c r="H4869" s="5"/>
      <c r="I4869" s="5"/>
      <c r="J4869" s="5"/>
      <c r="K4869" s="5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</row>
    <row r="4870" spans="5:30" ht="15">
      <c r="E4870" s="9"/>
      <c r="F4870" s="5"/>
      <c r="G4870" s="5"/>
      <c r="H4870" s="5"/>
      <c r="I4870" s="5"/>
      <c r="J4870" s="5"/>
      <c r="K4870" s="5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</row>
    <row r="4871" spans="5:30" ht="15">
      <c r="E4871" s="9"/>
      <c r="F4871" s="5"/>
      <c r="G4871" s="5"/>
      <c r="H4871" s="5"/>
      <c r="I4871" s="5"/>
      <c r="J4871" s="5"/>
      <c r="K4871" s="5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</row>
    <row r="4872" spans="5:30" ht="15">
      <c r="E4872" s="9"/>
      <c r="F4872" s="5"/>
      <c r="G4872" s="5"/>
      <c r="H4872" s="5"/>
      <c r="I4872" s="5"/>
      <c r="J4872" s="5"/>
      <c r="K4872" s="5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</row>
    <row r="4873" spans="5:30" ht="15">
      <c r="E4873" s="9"/>
      <c r="F4873" s="5"/>
      <c r="G4873" s="5"/>
      <c r="H4873" s="5"/>
      <c r="I4873" s="5"/>
      <c r="J4873" s="5"/>
      <c r="K4873" s="5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</row>
    <row r="4874" spans="5:30" ht="15">
      <c r="E4874" s="9"/>
      <c r="F4874" s="5"/>
      <c r="G4874" s="5"/>
      <c r="H4874" s="5"/>
      <c r="I4874" s="5"/>
      <c r="J4874" s="5"/>
      <c r="K4874" s="5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</row>
    <row r="4875" spans="5:30" ht="15">
      <c r="E4875" s="9"/>
      <c r="F4875" s="5"/>
      <c r="G4875" s="5"/>
      <c r="H4875" s="5"/>
      <c r="I4875" s="5"/>
      <c r="J4875" s="5"/>
      <c r="K4875" s="5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</row>
    <row r="4876" spans="5:30" ht="15">
      <c r="E4876" s="9"/>
      <c r="F4876" s="5"/>
      <c r="G4876" s="5"/>
      <c r="H4876" s="5"/>
      <c r="I4876" s="5"/>
      <c r="J4876" s="5"/>
      <c r="K4876" s="5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</row>
    <row r="4877" spans="5:30" ht="15">
      <c r="E4877" s="9"/>
      <c r="F4877" s="5"/>
      <c r="G4877" s="5"/>
      <c r="H4877" s="5"/>
      <c r="I4877" s="5"/>
      <c r="J4877" s="5"/>
      <c r="K4877" s="5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</row>
    <row r="4878" spans="5:30" ht="15">
      <c r="E4878" s="9"/>
      <c r="F4878" s="5"/>
      <c r="G4878" s="5"/>
      <c r="H4878" s="5"/>
      <c r="I4878" s="5"/>
      <c r="J4878" s="5"/>
      <c r="K4878" s="5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</row>
    <row r="4879" spans="5:30" ht="15">
      <c r="E4879" s="9"/>
      <c r="F4879" s="5"/>
      <c r="G4879" s="5"/>
      <c r="H4879" s="5"/>
      <c r="I4879" s="5"/>
      <c r="J4879" s="5"/>
      <c r="K4879" s="5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</row>
    <row r="4880" spans="5:30" ht="15">
      <c r="E4880" s="9"/>
      <c r="F4880" s="5"/>
      <c r="G4880" s="5"/>
      <c r="H4880" s="5"/>
      <c r="I4880" s="5"/>
      <c r="J4880" s="5"/>
      <c r="K4880" s="5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</row>
    <row r="4881" spans="5:30" ht="15">
      <c r="E4881" s="9"/>
      <c r="F4881" s="5"/>
      <c r="G4881" s="5"/>
      <c r="H4881" s="5"/>
      <c r="I4881" s="5"/>
      <c r="J4881" s="5"/>
      <c r="K4881" s="5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</row>
    <row r="4882" spans="5:30" ht="15">
      <c r="E4882" s="9"/>
      <c r="F4882" s="5"/>
      <c r="G4882" s="5"/>
      <c r="H4882" s="5"/>
      <c r="I4882" s="5"/>
      <c r="J4882" s="5"/>
      <c r="K4882" s="5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</row>
    <row r="4883" spans="5:30" ht="15">
      <c r="E4883" s="9"/>
      <c r="F4883" s="5"/>
      <c r="G4883" s="5"/>
      <c r="H4883" s="5"/>
      <c r="I4883" s="5"/>
      <c r="J4883" s="5"/>
      <c r="K4883" s="5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</row>
    <row r="4884" spans="5:30" ht="15">
      <c r="E4884" s="9"/>
      <c r="F4884" s="5"/>
      <c r="G4884" s="5"/>
      <c r="H4884" s="5"/>
      <c r="I4884" s="5"/>
      <c r="J4884" s="5"/>
      <c r="K4884" s="5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</row>
    <row r="4885" spans="5:30" ht="15">
      <c r="E4885" s="9"/>
      <c r="F4885" s="5"/>
      <c r="G4885" s="5"/>
      <c r="H4885" s="5"/>
      <c r="I4885" s="5"/>
      <c r="J4885" s="5"/>
      <c r="K4885" s="5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</row>
    <row r="4886" spans="5:30" ht="15">
      <c r="E4886" s="9"/>
      <c r="F4886" s="5"/>
      <c r="G4886" s="5"/>
      <c r="H4886" s="5"/>
      <c r="I4886" s="5"/>
      <c r="J4886" s="5"/>
      <c r="K4886" s="5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</row>
    <row r="4887" spans="5:30" ht="15">
      <c r="E4887" s="9"/>
      <c r="F4887" s="5"/>
      <c r="G4887" s="5"/>
      <c r="H4887" s="5"/>
      <c r="I4887" s="5"/>
      <c r="J4887" s="5"/>
      <c r="K4887" s="5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</row>
    <row r="4888" spans="5:30" ht="15">
      <c r="E4888" s="9"/>
      <c r="F4888" s="5"/>
      <c r="G4888" s="5"/>
      <c r="H4888" s="5"/>
      <c r="I4888" s="5"/>
      <c r="J4888" s="5"/>
      <c r="K4888" s="5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</row>
    <row r="4889" spans="5:30" ht="15">
      <c r="E4889" s="9"/>
      <c r="F4889" s="5"/>
      <c r="G4889" s="5"/>
      <c r="H4889" s="5"/>
      <c r="I4889" s="5"/>
      <c r="J4889" s="5"/>
      <c r="K4889" s="5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</row>
    <row r="4890" spans="5:30" ht="15">
      <c r="E4890" s="9"/>
      <c r="F4890" s="5"/>
      <c r="G4890" s="5"/>
      <c r="H4890" s="5"/>
      <c r="I4890" s="5"/>
      <c r="J4890" s="5"/>
      <c r="K4890" s="5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</row>
    <row r="4891" spans="5:30" ht="15">
      <c r="E4891" s="9"/>
      <c r="F4891" s="5"/>
      <c r="G4891" s="5"/>
      <c r="H4891" s="5"/>
      <c r="I4891" s="5"/>
      <c r="J4891" s="5"/>
      <c r="K4891" s="5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</row>
    <row r="4892" spans="5:30" ht="15">
      <c r="E4892" s="9"/>
      <c r="F4892" s="5"/>
      <c r="G4892" s="5"/>
      <c r="H4892" s="5"/>
      <c r="I4892" s="5"/>
      <c r="J4892" s="5"/>
      <c r="K4892" s="5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</row>
    <row r="4893" spans="5:30" ht="15">
      <c r="E4893" s="9"/>
      <c r="F4893" s="5"/>
      <c r="G4893" s="5"/>
      <c r="H4893" s="5"/>
      <c r="I4893" s="5"/>
      <c r="J4893" s="5"/>
      <c r="K4893" s="5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</row>
    <row r="4894" spans="5:30" ht="15">
      <c r="E4894" s="9"/>
      <c r="F4894" s="5"/>
      <c r="G4894" s="5"/>
      <c r="H4894" s="5"/>
      <c r="I4894" s="5"/>
      <c r="J4894" s="5"/>
      <c r="K4894" s="5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</row>
    <row r="4895" spans="5:30" ht="15">
      <c r="E4895" s="9"/>
      <c r="F4895" s="5"/>
      <c r="G4895" s="5"/>
      <c r="H4895" s="5"/>
      <c r="I4895" s="5"/>
      <c r="J4895" s="5"/>
      <c r="K4895" s="5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</row>
    <row r="4896" spans="5:30" ht="15">
      <c r="E4896" s="9"/>
      <c r="F4896" s="5"/>
      <c r="G4896" s="5"/>
      <c r="H4896" s="5"/>
      <c r="I4896" s="5"/>
      <c r="J4896" s="5"/>
      <c r="K4896" s="5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</row>
    <row r="4897" spans="5:30" ht="15">
      <c r="E4897" s="9"/>
      <c r="F4897" s="5"/>
      <c r="G4897" s="5"/>
      <c r="H4897" s="5"/>
      <c r="I4897" s="5"/>
      <c r="J4897" s="5"/>
      <c r="K4897" s="5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</row>
    <row r="4898" spans="5:30" ht="15">
      <c r="E4898" s="9"/>
      <c r="F4898" s="5"/>
      <c r="G4898" s="5"/>
      <c r="H4898" s="5"/>
      <c r="I4898" s="5"/>
      <c r="J4898" s="5"/>
      <c r="K4898" s="5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</row>
    <row r="4899" spans="5:30" ht="15">
      <c r="E4899" s="9"/>
      <c r="F4899" s="5"/>
      <c r="G4899" s="5"/>
      <c r="H4899" s="5"/>
      <c r="I4899" s="5"/>
      <c r="J4899" s="5"/>
      <c r="K4899" s="5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</row>
    <row r="4900" spans="5:30" ht="15">
      <c r="E4900" s="9"/>
      <c r="F4900" s="5"/>
      <c r="G4900" s="5"/>
      <c r="H4900" s="5"/>
      <c r="I4900" s="5"/>
      <c r="J4900" s="5"/>
      <c r="K4900" s="5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</row>
    <row r="4901" spans="5:30" ht="15">
      <c r="E4901" s="9"/>
      <c r="F4901" s="5"/>
      <c r="G4901" s="5"/>
      <c r="H4901" s="5"/>
      <c r="I4901" s="5"/>
      <c r="J4901" s="5"/>
      <c r="K4901" s="5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</row>
    <row r="4902" spans="5:30" ht="15">
      <c r="E4902" s="9"/>
      <c r="F4902" s="5"/>
      <c r="G4902" s="5"/>
      <c r="H4902" s="5"/>
      <c r="I4902" s="5"/>
      <c r="J4902" s="5"/>
      <c r="K4902" s="5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</row>
    <row r="4903" spans="5:30" ht="15">
      <c r="E4903" s="9"/>
      <c r="F4903" s="5"/>
      <c r="G4903" s="5"/>
      <c r="H4903" s="5"/>
      <c r="I4903" s="5"/>
      <c r="J4903" s="5"/>
      <c r="K4903" s="5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</row>
    <row r="4904" spans="5:30" ht="15">
      <c r="E4904" s="9"/>
      <c r="F4904" s="5"/>
      <c r="G4904" s="5"/>
      <c r="H4904" s="5"/>
      <c r="I4904" s="5"/>
      <c r="J4904" s="5"/>
      <c r="K4904" s="5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</row>
    <row r="4905" spans="5:30" ht="15">
      <c r="E4905" s="9"/>
      <c r="F4905" s="5"/>
      <c r="G4905" s="5"/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</row>
    <row r="4906" spans="5:30" ht="15">
      <c r="E4906" s="9"/>
      <c r="F4906" s="5"/>
      <c r="G4906" s="5"/>
      <c r="H4906" s="5"/>
      <c r="I4906" s="5"/>
      <c r="J4906" s="5"/>
      <c r="K4906" s="5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</row>
    <row r="4907" spans="5:30" ht="15">
      <c r="E4907" s="9"/>
      <c r="F4907" s="5"/>
      <c r="G4907" s="5"/>
      <c r="H4907" s="5"/>
      <c r="I4907" s="5"/>
      <c r="J4907" s="5"/>
      <c r="K4907" s="5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</row>
    <row r="4908" spans="5:30" ht="15">
      <c r="E4908" s="9"/>
      <c r="F4908" s="5"/>
      <c r="G4908" s="5"/>
      <c r="H4908" s="5"/>
      <c r="I4908" s="5"/>
      <c r="J4908" s="5"/>
      <c r="K4908" s="5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</row>
    <row r="4909" spans="5:30" ht="15">
      <c r="E4909" s="9"/>
      <c r="F4909" s="5"/>
      <c r="G4909" s="5"/>
      <c r="H4909" s="5"/>
      <c r="I4909" s="5"/>
      <c r="J4909" s="5"/>
      <c r="K4909" s="5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</row>
    <row r="4910" spans="5:30" ht="15">
      <c r="E4910" s="9"/>
      <c r="F4910" s="5"/>
      <c r="G4910" s="5"/>
      <c r="H4910" s="5"/>
      <c r="I4910" s="5"/>
      <c r="J4910" s="5"/>
      <c r="K4910" s="5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</row>
    <row r="4911" spans="5:30" ht="15">
      <c r="E4911" s="9"/>
      <c r="F4911" s="5"/>
      <c r="G4911" s="5"/>
      <c r="H4911" s="5"/>
      <c r="I4911" s="5"/>
      <c r="J4911" s="5"/>
      <c r="K4911" s="5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</row>
    <row r="4912" spans="5:30" ht="15">
      <c r="E4912" s="9"/>
      <c r="F4912" s="5"/>
      <c r="G4912" s="5"/>
      <c r="H4912" s="5"/>
      <c r="I4912" s="5"/>
      <c r="J4912" s="5"/>
      <c r="K4912" s="5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</row>
    <row r="4913" spans="5:30" ht="15">
      <c r="E4913" s="9"/>
      <c r="F4913" s="5"/>
      <c r="G4913" s="5"/>
      <c r="H4913" s="5"/>
      <c r="I4913" s="5"/>
      <c r="J4913" s="5"/>
      <c r="K4913" s="5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</row>
    <row r="4914" spans="5:30" ht="15">
      <c r="E4914" s="9"/>
      <c r="F4914" s="5"/>
      <c r="G4914" s="5"/>
      <c r="H4914" s="5"/>
      <c r="I4914" s="5"/>
      <c r="J4914" s="5"/>
      <c r="K4914" s="5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</row>
    <row r="4915" spans="5:30" ht="15">
      <c r="E4915" s="9"/>
      <c r="F4915" s="5"/>
      <c r="G4915" s="5"/>
      <c r="H4915" s="5"/>
      <c r="I4915" s="5"/>
      <c r="J4915" s="5"/>
      <c r="K4915" s="5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</row>
    <row r="4916" spans="5:30" ht="15">
      <c r="E4916" s="9"/>
      <c r="F4916" s="5"/>
      <c r="G4916" s="5"/>
      <c r="H4916" s="5"/>
      <c r="I4916" s="5"/>
      <c r="J4916" s="5"/>
      <c r="K4916" s="5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</row>
    <row r="4917" spans="5:30" ht="15">
      <c r="E4917" s="9"/>
      <c r="F4917" s="5"/>
      <c r="G4917" s="5"/>
      <c r="H4917" s="5"/>
      <c r="I4917" s="5"/>
      <c r="J4917" s="5"/>
      <c r="K4917" s="5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</row>
    <row r="4918" spans="5:30" ht="15">
      <c r="E4918" s="9"/>
      <c r="F4918" s="5"/>
      <c r="G4918" s="5"/>
      <c r="H4918" s="5"/>
      <c r="I4918" s="5"/>
      <c r="J4918" s="5"/>
      <c r="K4918" s="5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</row>
    <row r="4919" spans="5:30" ht="15">
      <c r="E4919" s="9"/>
      <c r="F4919" s="5"/>
      <c r="G4919" s="5"/>
      <c r="H4919" s="5"/>
      <c r="I4919" s="5"/>
      <c r="J4919" s="5"/>
      <c r="K4919" s="5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</row>
    <row r="4920" spans="5:30" ht="15">
      <c r="E4920" s="9"/>
      <c r="F4920" s="5"/>
      <c r="G4920" s="5"/>
      <c r="H4920" s="5"/>
      <c r="I4920" s="5"/>
      <c r="J4920" s="5"/>
      <c r="K4920" s="5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</row>
    <row r="4921" spans="5:30" ht="15">
      <c r="E4921" s="9"/>
      <c r="F4921" s="5"/>
      <c r="G4921" s="5"/>
      <c r="H4921" s="5"/>
      <c r="I4921" s="5"/>
      <c r="J4921" s="5"/>
      <c r="K4921" s="5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</row>
    <row r="4922" spans="5:30" ht="15">
      <c r="E4922" s="9"/>
      <c r="F4922" s="5"/>
      <c r="G4922" s="5"/>
      <c r="H4922" s="5"/>
      <c r="I4922" s="5"/>
      <c r="J4922" s="5"/>
      <c r="K4922" s="5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</row>
    <row r="4923" spans="5:30" ht="15">
      <c r="E4923" s="9"/>
      <c r="F4923" s="5"/>
      <c r="G4923" s="5"/>
      <c r="H4923" s="5"/>
      <c r="I4923" s="5"/>
      <c r="J4923" s="5"/>
      <c r="K4923" s="5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</row>
    <row r="4924" spans="5:30" ht="15">
      <c r="E4924" s="9"/>
      <c r="F4924" s="5"/>
      <c r="G4924" s="5"/>
      <c r="H4924" s="5"/>
      <c r="I4924" s="5"/>
      <c r="J4924" s="5"/>
      <c r="K4924" s="5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</row>
    <row r="4925" spans="5:30" ht="15">
      <c r="E4925" s="9"/>
      <c r="F4925" s="5"/>
      <c r="G4925" s="5"/>
      <c r="H4925" s="5"/>
      <c r="I4925" s="5"/>
      <c r="J4925" s="5"/>
      <c r="K4925" s="5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</row>
    <row r="4926" spans="5:30" ht="15">
      <c r="E4926" s="9"/>
      <c r="F4926" s="5"/>
      <c r="G4926" s="5"/>
      <c r="H4926" s="5"/>
      <c r="I4926" s="5"/>
      <c r="J4926" s="5"/>
      <c r="K4926" s="5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</row>
    <row r="4927" spans="5:30" ht="15">
      <c r="E4927" s="9"/>
      <c r="F4927" s="5"/>
      <c r="G4927" s="5"/>
      <c r="H4927" s="5"/>
      <c r="I4927" s="5"/>
      <c r="J4927" s="5"/>
      <c r="K4927" s="5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</row>
    <row r="4928" spans="5:30" ht="15">
      <c r="E4928" s="9"/>
      <c r="F4928" s="5"/>
      <c r="G4928" s="5"/>
      <c r="H4928" s="5"/>
      <c r="I4928" s="5"/>
      <c r="J4928" s="5"/>
      <c r="K4928" s="5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</row>
    <row r="4929" spans="5:30" ht="15">
      <c r="E4929" s="9"/>
      <c r="F4929" s="5"/>
      <c r="G4929" s="5"/>
      <c r="H4929" s="5"/>
      <c r="I4929" s="5"/>
      <c r="J4929" s="5"/>
      <c r="K4929" s="5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</row>
    <row r="4930" spans="5:30" ht="15">
      <c r="E4930" s="9"/>
      <c r="F4930" s="5"/>
      <c r="G4930" s="5"/>
      <c r="H4930" s="5"/>
      <c r="I4930" s="5"/>
      <c r="J4930" s="5"/>
      <c r="K4930" s="5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</row>
    <row r="4931" spans="5:30" ht="15">
      <c r="E4931" s="9"/>
      <c r="F4931" s="5"/>
      <c r="G4931" s="5"/>
      <c r="H4931" s="5"/>
      <c r="I4931" s="5"/>
      <c r="J4931" s="5"/>
      <c r="K4931" s="5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</row>
    <row r="4932" spans="5:30" ht="15">
      <c r="E4932" s="9"/>
      <c r="F4932" s="5"/>
      <c r="G4932" s="5"/>
      <c r="H4932" s="5"/>
      <c r="I4932" s="5"/>
      <c r="J4932" s="5"/>
      <c r="K4932" s="5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</row>
    <row r="4933" spans="5:30" ht="15">
      <c r="E4933" s="9"/>
      <c r="F4933" s="5"/>
      <c r="G4933" s="5"/>
      <c r="H4933" s="5"/>
      <c r="I4933" s="5"/>
      <c r="J4933" s="5"/>
      <c r="K4933" s="5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</row>
    <row r="4934" spans="5:30" ht="15">
      <c r="E4934" s="9"/>
      <c r="F4934" s="5"/>
      <c r="G4934" s="5"/>
      <c r="H4934" s="5"/>
      <c r="I4934" s="5"/>
      <c r="J4934" s="5"/>
      <c r="K4934" s="5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</row>
    <row r="4935" spans="5:30" ht="15">
      <c r="E4935" s="9"/>
      <c r="F4935" s="5"/>
      <c r="G4935" s="5"/>
      <c r="H4935" s="5"/>
      <c r="I4935" s="5"/>
      <c r="J4935" s="5"/>
      <c r="K4935" s="5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</row>
    <row r="4936" spans="5:30" ht="15">
      <c r="E4936" s="9"/>
      <c r="F4936" s="5"/>
      <c r="G4936" s="5"/>
      <c r="H4936" s="5"/>
      <c r="I4936" s="5"/>
      <c r="J4936" s="5"/>
      <c r="K4936" s="5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</row>
    <row r="4937" spans="5:30" ht="15">
      <c r="E4937" s="9"/>
      <c r="F4937" s="5"/>
      <c r="G4937" s="5"/>
      <c r="H4937" s="5"/>
      <c r="I4937" s="5"/>
      <c r="J4937" s="5"/>
      <c r="K4937" s="5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</row>
    <row r="4938" spans="5:30" ht="15">
      <c r="E4938" s="9"/>
      <c r="F4938" s="5"/>
      <c r="G4938" s="5"/>
      <c r="H4938" s="5"/>
      <c r="I4938" s="5"/>
      <c r="J4938" s="5"/>
      <c r="K4938" s="5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</row>
    <row r="4939" spans="5:30" ht="15">
      <c r="E4939" s="9"/>
      <c r="F4939" s="5"/>
      <c r="G4939" s="5"/>
      <c r="H4939" s="5"/>
      <c r="I4939" s="5"/>
      <c r="J4939" s="5"/>
      <c r="K4939" s="5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</row>
    <row r="4940" spans="5:30" ht="15">
      <c r="E4940" s="9"/>
      <c r="F4940" s="5"/>
      <c r="G4940" s="5"/>
      <c r="H4940" s="5"/>
      <c r="I4940" s="5"/>
      <c r="J4940" s="5"/>
      <c r="K4940" s="5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</row>
    <row r="4941" spans="5:30" ht="15">
      <c r="E4941" s="9"/>
      <c r="F4941" s="5"/>
      <c r="G4941" s="5"/>
      <c r="H4941" s="5"/>
      <c r="I4941" s="5"/>
      <c r="J4941" s="5"/>
      <c r="K4941" s="5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</row>
    <row r="4942" spans="5:30" ht="15">
      <c r="E4942" s="9"/>
      <c r="F4942" s="5"/>
      <c r="G4942" s="5"/>
      <c r="H4942" s="5"/>
      <c r="I4942" s="5"/>
      <c r="J4942" s="5"/>
      <c r="K4942" s="5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</row>
    <row r="4943" spans="5:30" ht="15">
      <c r="E4943" s="9"/>
      <c r="F4943" s="5"/>
      <c r="G4943" s="5"/>
      <c r="H4943" s="5"/>
      <c r="I4943" s="5"/>
      <c r="J4943" s="5"/>
      <c r="K4943" s="5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</row>
    <row r="4944" spans="5:30" ht="15">
      <c r="E4944" s="9"/>
      <c r="F4944" s="5"/>
      <c r="G4944" s="5"/>
      <c r="H4944" s="5"/>
      <c r="I4944" s="5"/>
      <c r="J4944" s="5"/>
      <c r="K4944" s="5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</row>
    <row r="4945" spans="5:30" ht="15">
      <c r="E4945" s="9"/>
      <c r="F4945" s="5"/>
      <c r="G4945" s="5"/>
      <c r="H4945" s="5"/>
      <c r="I4945" s="5"/>
      <c r="J4945" s="5"/>
      <c r="K4945" s="5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</row>
    <row r="4946" spans="5:30" ht="15">
      <c r="E4946" s="9"/>
      <c r="F4946" s="5"/>
      <c r="G4946" s="5"/>
      <c r="H4946" s="5"/>
      <c r="I4946" s="5"/>
      <c r="J4946" s="5"/>
      <c r="K4946" s="5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</row>
    <row r="4947" spans="5:30" ht="15">
      <c r="E4947" s="9"/>
      <c r="F4947" s="5"/>
      <c r="G4947" s="5"/>
      <c r="H4947" s="5"/>
      <c r="I4947" s="5"/>
      <c r="J4947" s="5"/>
      <c r="K4947" s="5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</row>
    <row r="4948" spans="5:30" ht="15">
      <c r="E4948" s="9"/>
      <c r="F4948" s="5"/>
      <c r="G4948" s="5"/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</row>
    <row r="4949" spans="5:30" ht="15">
      <c r="E4949" s="9"/>
      <c r="F4949" s="5"/>
      <c r="G4949" s="5"/>
      <c r="H4949" s="5"/>
      <c r="I4949" s="5"/>
      <c r="J4949" s="5"/>
      <c r="K4949" s="5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</row>
    <row r="4950" spans="5:30" ht="15">
      <c r="E4950" s="9"/>
      <c r="F4950" s="5"/>
      <c r="G4950" s="5"/>
      <c r="H4950" s="5"/>
      <c r="I4950" s="5"/>
      <c r="J4950" s="5"/>
      <c r="K4950" s="5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</row>
    <row r="4951" spans="5:30" ht="15">
      <c r="E4951" s="9"/>
      <c r="F4951" s="5"/>
      <c r="G4951" s="5"/>
      <c r="H4951" s="5"/>
      <c r="I4951" s="5"/>
      <c r="J4951" s="5"/>
      <c r="K4951" s="5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</row>
    <row r="4952" spans="5:30" ht="15">
      <c r="E4952" s="9"/>
      <c r="F4952" s="5"/>
      <c r="G4952" s="5"/>
      <c r="H4952" s="5"/>
      <c r="I4952" s="5"/>
      <c r="J4952" s="5"/>
      <c r="K4952" s="5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</row>
    <row r="4953" spans="5:30" ht="15">
      <c r="E4953" s="9"/>
      <c r="F4953" s="5"/>
      <c r="G4953" s="5"/>
      <c r="H4953" s="5"/>
      <c r="I4953" s="5"/>
      <c r="J4953" s="5"/>
      <c r="K4953" s="5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</row>
    <row r="4954" spans="5:30" ht="15">
      <c r="E4954" s="9"/>
      <c r="F4954" s="5"/>
      <c r="G4954" s="5"/>
      <c r="H4954" s="5"/>
      <c r="I4954" s="5"/>
      <c r="J4954" s="5"/>
      <c r="K4954" s="5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</row>
    <row r="4955" spans="5:30" ht="15">
      <c r="E4955" s="9"/>
      <c r="F4955" s="5"/>
      <c r="G4955" s="5"/>
      <c r="H4955" s="5"/>
      <c r="I4955" s="5"/>
      <c r="J4955" s="5"/>
      <c r="K4955" s="5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</row>
    <row r="4956" spans="5:30" ht="15">
      <c r="E4956" s="9"/>
      <c r="F4956" s="5"/>
      <c r="G4956" s="5"/>
      <c r="H4956" s="5"/>
      <c r="I4956" s="5"/>
      <c r="J4956" s="5"/>
      <c r="K4956" s="5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</row>
    <row r="4957" spans="5:30" ht="15">
      <c r="E4957" s="9"/>
      <c r="F4957" s="5"/>
      <c r="G4957" s="5"/>
      <c r="H4957" s="5"/>
      <c r="I4957" s="5"/>
      <c r="J4957" s="5"/>
      <c r="K4957" s="5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</row>
    <row r="4958" spans="5:30" ht="15">
      <c r="E4958" s="9"/>
      <c r="F4958" s="5"/>
      <c r="G4958" s="5"/>
      <c r="H4958" s="5"/>
      <c r="I4958" s="5"/>
      <c r="J4958" s="5"/>
      <c r="K4958" s="5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</row>
    <row r="4959" spans="5:30" ht="15">
      <c r="E4959" s="9"/>
      <c r="F4959" s="5"/>
      <c r="G4959" s="5"/>
      <c r="H4959" s="5"/>
      <c r="I4959" s="5"/>
      <c r="J4959" s="5"/>
      <c r="K4959" s="5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</row>
    <row r="4960" spans="5:30" ht="15">
      <c r="E4960" s="9"/>
      <c r="F4960" s="5"/>
      <c r="G4960" s="5"/>
      <c r="H4960" s="5"/>
      <c r="I4960" s="5"/>
      <c r="J4960" s="5"/>
      <c r="K4960" s="5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</row>
    <row r="4961" spans="5:30" ht="15">
      <c r="E4961" s="9"/>
      <c r="F4961" s="5"/>
      <c r="G4961" s="5"/>
      <c r="H4961" s="5"/>
      <c r="I4961" s="5"/>
      <c r="J4961" s="5"/>
      <c r="K4961" s="5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</row>
    <row r="4962" spans="5:30" ht="15">
      <c r="E4962" s="9"/>
      <c r="F4962" s="5"/>
      <c r="G4962" s="5"/>
      <c r="H4962" s="5"/>
      <c r="I4962" s="5"/>
      <c r="J4962" s="5"/>
      <c r="K4962" s="5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</row>
    <row r="4963" spans="5:30" ht="15">
      <c r="E4963" s="9"/>
      <c r="F4963" s="5"/>
      <c r="G4963" s="5"/>
      <c r="H4963" s="5"/>
      <c r="I4963" s="5"/>
      <c r="J4963" s="5"/>
      <c r="K4963" s="5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</row>
    <row r="4964" spans="5:30" ht="15">
      <c r="E4964" s="9"/>
      <c r="F4964" s="5"/>
      <c r="G4964" s="5"/>
      <c r="H4964" s="5"/>
      <c r="I4964" s="5"/>
      <c r="J4964" s="5"/>
      <c r="K4964" s="5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</row>
    <row r="4965" spans="5:30" ht="15">
      <c r="E4965" s="9"/>
      <c r="F4965" s="5"/>
      <c r="G4965" s="5"/>
      <c r="H4965" s="5"/>
      <c r="I4965" s="5"/>
      <c r="J4965" s="5"/>
      <c r="K4965" s="5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</row>
    <row r="4966" spans="5:30" ht="15">
      <c r="E4966" s="9"/>
      <c r="F4966" s="5"/>
      <c r="G4966" s="5"/>
      <c r="H4966" s="5"/>
      <c r="I4966" s="5"/>
      <c r="J4966" s="5"/>
      <c r="K4966" s="5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</row>
    <row r="4967" spans="5:30" ht="15">
      <c r="E4967" s="9"/>
      <c r="F4967" s="5"/>
      <c r="G4967" s="5"/>
      <c r="H4967" s="5"/>
      <c r="I4967" s="5"/>
      <c r="J4967" s="5"/>
      <c r="K4967" s="5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</row>
    <row r="4968" spans="5:30" ht="15">
      <c r="E4968" s="9"/>
      <c r="F4968" s="5"/>
      <c r="G4968" s="5"/>
      <c r="H4968" s="5"/>
      <c r="I4968" s="5"/>
      <c r="J4968" s="5"/>
      <c r="K4968" s="5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</row>
    <row r="4969" spans="5:30" ht="15">
      <c r="E4969" s="9"/>
      <c r="F4969" s="5"/>
      <c r="G4969" s="5"/>
      <c r="H4969" s="5"/>
      <c r="I4969" s="5"/>
      <c r="J4969" s="5"/>
      <c r="K4969" s="5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</row>
    <row r="4970" spans="5:30" ht="15">
      <c r="E4970" s="9"/>
      <c r="F4970" s="5"/>
      <c r="G4970" s="5"/>
      <c r="H4970" s="5"/>
      <c r="I4970" s="5"/>
      <c r="J4970" s="5"/>
      <c r="K4970" s="5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</row>
    <row r="4971" spans="5:30" ht="15">
      <c r="E4971" s="9"/>
      <c r="F4971" s="5"/>
      <c r="G4971" s="5"/>
      <c r="H4971" s="5"/>
      <c r="I4971" s="5"/>
      <c r="J4971" s="5"/>
      <c r="K4971" s="5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</row>
    <row r="4972" spans="5:30" ht="15">
      <c r="E4972" s="9"/>
      <c r="F4972" s="5"/>
      <c r="G4972" s="5"/>
      <c r="H4972" s="5"/>
      <c r="I4972" s="5"/>
      <c r="J4972" s="5"/>
      <c r="K4972" s="5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</row>
    <row r="4973" spans="5:30" ht="15">
      <c r="E4973" s="9"/>
      <c r="F4973" s="5"/>
      <c r="G4973" s="5"/>
      <c r="H4973" s="5"/>
      <c r="I4973" s="5"/>
      <c r="J4973" s="5"/>
      <c r="K4973" s="5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</row>
    <row r="4974" spans="5:30" ht="15">
      <c r="E4974" s="9"/>
      <c r="F4974" s="5"/>
      <c r="G4974" s="5"/>
      <c r="H4974" s="5"/>
      <c r="I4974" s="5"/>
      <c r="J4974" s="5"/>
      <c r="K4974" s="5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</row>
    <row r="4975" spans="5:30" ht="15">
      <c r="E4975" s="9"/>
      <c r="F4975" s="5"/>
      <c r="G4975" s="5"/>
      <c r="H4975" s="5"/>
      <c r="I4975" s="5"/>
      <c r="J4975" s="5"/>
      <c r="K4975" s="5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</row>
    <row r="4976" spans="5:30" ht="15">
      <c r="E4976" s="9"/>
      <c r="F4976" s="5"/>
      <c r="G4976" s="5"/>
      <c r="H4976" s="5"/>
      <c r="I4976" s="5"/>
      <c r="J4976" s="5"/>
      <c r="K4976" s="5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</row>
    <row r="4977" spans="5:30" ht="15">
      <c r="E4977" s="9"/>
      <c r="F4977" s="5"/>
      <c r="G4977" s="5"/>
      <c r="H4977" s="5"/>
      <c r="I4977" s="5"/>
      <c r="J4977" s="5"/>
      <c r="K4977" s="5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</row>
    <row r="4978" spans="5:30" ht="15">
      <c r="E4978" s="9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</row>
    <row r="4979" spans="5:30" ht="15">
      <c r="E4979" s="9"/>
      <c r="F4979" s="5"/>
      <c r="G4979" s="5"/>
      <c r="H4979" s="5"/>
      <c r="I4979" s="5"/>
      <c r="J4979" s="5"/>
      <c r="K4979" s="5"/>
      <c r="L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</row>
    <row r="4980" spans="5:30" ht="15">
      <c r="E4980" s="9"/>
      <c r="F4980" s="5"/>
      <c r="G4980" s="5"/>
      <c r="H4980" s="5"/>
      <c r="I4980" s="5"/>
      <c r="J4980" s="5"/>
      <c r="K4980" s="5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</row>
    <row r="4981" spans="5:30" ht="15">
      <c r="E4981" s="9"/>
      <c r="F4981" s="5"/>
      <c r="G4981" s="5"/>
      <c r="H4981" s="5"/>
      <c r="I4981" s="5"/>
      <c r="J4981" s="5"/>
      <c r="K4981" s="5"/>
      <c r="L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</row>
    <row r="4982" spans="5:30" ht="15">
      <c r="E4982" s="9"/>
      <c r="F4982" s="5"/>
      <c r="G4982" s="5"/>
      <c r="H4982" s="5"/>
      <c r="I4982" s="5"/>
      <c r="J4982" s="5"/>
      <c r="K4982" s="5"/>
      <c r="L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</row>
    <row r="4983" spans="5:30" ht="15">
      <c r="E4983" s="9"/>
      <c r="F4983" s="5"/>
      <c r="G4983" s="5"/>
      <c r="H4983" s="5"/>
      <c r="I4983" s="5"/>
      <c r="J4983" s="5"/>
      <c r="K4983" s="5"/>
      <c r="L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</row>
    <row r="4984" spans="5:30" ht="15">
      <c r="E4984" s="9"/>
      <c r="F4984" s="5"/>
      <c r="G4984" s="5"/>
      <c r="H4984" s="5"/>
      <c r="I4984" s="5"/>
      <c r="J4984" s="5"/>
      <c r="K4984" s="5"/>
      <c r="L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</row>
    <row r="4985" spans="5:30" ht="15">
      <c r="E4985" s="9"/>
      <c r="F4985" s="5"/>
      <c r="G4985" s="5"/>
      <c r="H4985" s="5"/>
      <c r="I4985" s="5"/>
      <c r="J4985" s="5"/>
      <c r="K4985" s="5"/>
      <c r="L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</row>
    <row r="4986" spans="5:30" ht="15">
      <c r="E4986" s="9"/>
      <c r="F4986" s="5"/>
      <c r="G4986" s="5"/>
      <c r="H4986" s="5"/>
      <c r="I4986" s="5"/>
      <c r="J4986" s="5"/>
      <c r="K4986" s="5"/>
      <c r="L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</row>
    <row r="4987" spans="5:30" ht="15">
      <c r="E4987" s="9"/>
      <c r="F4987" s="5"/>
      <c r="G4987" s="5"/>
      <c r="H4987" s="5"/>
      <c r="I4987" s="5"/>
      <c r="J4987" s="5"/>
      <c r="K4987" s="5"/>
      <c r="L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</row>
    <row r="4988" spans="5:30" ht="15">
      <c r="E4988" s="9"/>
      <c r="F4988" s="5"/>
      <c r="G4988" s="5"/>
      <c r="H4988" s="5"/>
      <c r="I4988" s="5"/>
      <c r="J4988" s="5"/>
      <c r="K4988" s="5"/>
      <c r="L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</row>
    <row r="4989" spans="5:30" ht="15">
      <c r="E4989" s="9"/>
      <c r="F4989" s="5"/>
      <c r="G4989" s="5"/>
      <c r="H4989" s="5"/>
      <c r="I4989" s="5"/>
      <c r="J4989" s="5"/>
      <c r="K4989" s="5"/>
      <c r="L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</row>
    <row r="4990" spans="5:30" ht="15">
      <c r="E4990" s="9"/>
      <c r="F4990" s="5"/>
      <c r="G4990" s="5"/>
      <c r="H4990" s="5"/>
      <c r="I4990" s="5"/>
      <c r="J4990" s="5"/>
      <c r="K4990" s="5"/>
      <c r="L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</row>
    <row r="4991" spans="5:30" ht="15">
      <c r="E4991" s="9"/>
      <c r="F4991" s="5"/>
      <c r="G4991" s="5"/>
      <c r="H4991" s="5"/>
      <c r="I4991" s="5"/>
      <c r="J4991" s="5"/>
      <c r="K4991" s="5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</row>
    <row r="4992" spans="5:30" ht="15">
      <c r="E4992" s="9"/>
      <c r="F4992" s="5"/>
      <c r="G4992" s="5"/>
      <c r="H4992" s="5"/>
      <c r="I4992" s="5"/>
      <c r="J4992" s="5"/>
      <c r="K4992" s="5"/>
      <c r="L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</row>
    <row r="4993" spans="5:30" ht="15">
      <c r="E4993" s="9"/>
      <c r="F4993" s="5"/>
      <c r="G4993" s="5"/>
      <c r="H4993" s="5"/>
      <c r="I4993" s="5"/>
      <c r="J4993" s="5"/>
      <c r="K4993" s="5"/>
      <c r="L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</row>
    <row r="4994" spans="5:30" ht="15">
      <c r="E4994" s="9"/>
      <c r="F4994" s="5"/>
      <c r="G4994" s="5"/>
      <c r="H4994" s="5"/>
      <c r="I4994" s="5"/>
      <c r="J4994" s="5"/>
      <c r="K4994" s="5"/>
      <c r="L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</row>
    <row r="4995" spans="5:30" ht="15">
      <c r="E4995" s="9"/>
      <c r="F4995" s="5"/>
      <c r="G4995" s="5"/>
      <c r="H4995" s="5"/>
      <c r="I4995" s="5"/>
      <c r="J4995" s="5"/>
      <c r="K4995" s="5"/>
      <c r="L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</row>
    <row r="4996" spans="5:30" ht="15">
      <c r="E4996" s="9"/>
      <c r="F4996" s="5"/>
      <c r="G4996" s="5"/>
      <c r="H4996" s="5"/>
      <c r="I4996" s="5"/>
      <c r="J4996" s="5"/>
      <c r="K4996" s="5"/>
      <c r="L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</row>
    <row r="4997" spans="5:30" ht="15">
      <c r="E4997" s="9"/>
      <c r="F4997" s="5"/>
      <c r="G4997" s="5"/>
      <c r="H4997" s="5"/>
      <c r="I4997" s="5"/>
      <c r="J4997" s="5"/>
      <c r="K4997" s="5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</row>
    <row r="4998" spans="5:30" ht="15">
      <c r="E4998" s="9"/>
      <c r="F4998" s="5"/>
      <c r="G4998" s="5"/>
      <c r="H4998" s="5"/>
      <c r="I4998" s="5"/>
      <c r="J4998" s="5"/>
      <c r="K4998" s="5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</row>
    <row r="4999" spans="5:30" ht="15">
      <c r="E4999" s="9"/>
      <c r="F4999" s="5"/>
      <c r="G4999" s="5"/>
      <c r="H4999" s="5"/>
      <c r="I4999" s="5"/>
      <c r="J4999" s="5"/>
      <c r="K4999" s="5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</row>
    <row r="5000" spans="5:30" ht="15">
      <c r="E5000" s="9"/>
      <c r="F5000" s="5"/>
      <c r="G5000" s="5"/>
      <c r="H5000" s="5"/>
      <c r="I5000" s="5"/>
      <c r="J5000" s="5"/>
      <c r="K5000" s="5"/>
      <c r="L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</row>
    <row r="5001" spans="5:30" ht="15">
      <c r="E5001" s="9"/>
      <c r="F5001" s="5"/>
      <c r="G5001" s="5"/>
      <c r="H5001" s="5"/>
      <c r="I5001" s="5"/>
      <c r="J5001" s="5"/>
      <c r="K5001" s="5"/>
      <c r="L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</row>
    <row r="5002" spans="5:30" ht="15">
      <c r="E5002" s="9"/>
      <c r="F5002" s="5"/>
      <c r="G5002" s="5"/>
      <c r="H5002" s="5"/>
      <c r="I5002" s="5"/>
      <c r="J5002" s="5"/>
      <c r="K5002" s="5"/>
      <c r="L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</row>
    <row r="5003" spans="5:30" ht="15">
      <c r="E5003" s="9"/>
      <c r="F5003" s="5"/>
      <c r="G5003" s="5"/>
      <c r="H5003" s="5"/>
      <c r="I5003" s="5"/>
      <c r="J5003" s="5"/>
      <c r="K5003" s="5"/>
      <c r="L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</row>
    <row r="5004" spans="5:30" ht="15">
      <c r="E5004" s="9"/>
      <c r="F5004" s="5"/>
      <c r="G5004" s="5"/>
      <c r="H5004" s="5"/>
      <c r="I5004" s="5"/>
      <c r="J5004" s="5"/>
      <c r="K5004" s="5"/>
      <c r="L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</row>
    <row r="5005" spans="5:30" ht="15">
      <c r="E5005" s="9"/>
      <c r="F5005" s="5"/>
      <c r="G5005" s="5"/>
      <c r="H5005" s="5"/>
      <c r="I5005" s="5"/>
      <c r="J5005" s="5"/>
      <c r="K5005" s="5"/>
      <c r="L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</row>
    <row r="5006" spans="5:30" ht="15">
      <c r="E5006" s="9"/>
      <c r="F5006" s="5"/>
      <c r="G5006" s="5"/>
      <c r="H5006" s="5"/>
      <c r="I5006" s="5"/>
      <c r="J5006" s="5"/>
      <c r="K5006" s="5"/>
      <c r="L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</row>
    <row r="5007" spans="5:30" ht="15">
      <c r="E5007" s="9"/>
      <c r="F5007" s="5"/>
      <c r="G5007" s="5"/>
      <c r="H5007" s="5"/>
      <c r="I5007" s="5"/>
      <c r="J5007" s="5"/>
      <c r="K5007" s="5"/>
      <c r="L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</row>
    <row r="5008" spans="5:30" ht="15">
      <c r="E5008" s="9"/>
      <c r="F5008" s="5"/>
      <c r="G5008" s="5"/>
      <c r="H5008" s="5"/>
      <c r="I5008" s="5"/>
      <c r="J5008" s="5"/>
      <c r="K5008" s="5"/>
      <c r="L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</row>
    <row r="5009" spans="5:30" ht="15">
      <c r="E5009" s="9"/>
      <c r="F5009" s="5"/>
      <c r="G5009" s="5"/>
      <c r="H5009" s="5"/>
      <c r="I5009" s="5"/>
      <c r="J5009" s="5"/>
      <c r="K5009" s="5"/>
      <c r="L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</row>
    <row r="5010" spans="5:30" ht="15">
      <c r="E5010" s="9"/>
      <c r="F5010" s="5"/>
      <c r="G5010" s="5"/>
      <c r="H5010" s="5"/>
      <c r="I5010" s="5"/>
      <c r="J5010" s="5"/>
      <c r="K5010" s="5"/>
      <c r="L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</row>
    <row r="5011" spans="5:30" ht="15">
      <c r="E5011" s="9"/>
      <c r="F5011" s="5"/>
      <c r="G5011" s="5"/>
      <c r="H5011" s="5"/>
      <c r="I5011" s="5"/>
      <c r="J5011" s="5"/>
      <c r="K5011" s="5"/>
      <c r="L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</row>
    <row r="5012" spans="5:30" ht="15">
      <c r="E5012" s="9"/>
      <c r="F5012" s="5"/>
      <c r="G5012" s="5"/>
      <c r="H5012" s="5"/>
      <c r="I5012" s="5"/>
      <c r="J5012" s="5"/>
      <c r="K5012" s="5"/>
      <c r="L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</row>
    <row r="5013" spans="5:30" ht="15">
      <c r="E5013" s="9"/>
      <c r="F5013" s="5"/>
      <c r="G5013" s="5"/>
      <c r="H5013" s="5"/>
      <c r="I5013" s="5"/>
      <c r="J5013" s="5"/>
      <c r="K5013" s="5"/>
      <c r="L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</row>
    <row r="5014" spans="5:30" ht="15">
      <c r="E5014" s="9"/>
      <c r="F5014" s="5"/>
      <c r="G5014" s="5"/>
      <c r="H5014" s="5"/>
      <c r="I5014" s="5"/>
      <c r="J5014" s="5"/>
      <c r="K5014" s="5"/>
      <c r="L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</row>
    <row r="5015" spans="5:30" ht="15">
      <c r="E5015" s="9"/>
      <c r="F5015" s="5"/>
      <c r="G5015" s="5"/>
      <c r="H5015" s="5"/>
      <c r="I5015" s="5"/>
      <c r="J5015" s="5"/>
      <c r="K5015" s="5"/>
      <c r="L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</row>
    <row r="5016" spans="5:30" ht="15">
      <c r="E5016" s="9"/>
      <c r="F5016" s="5"/>
      <c r="G5016" s="5"/>
      <c r="H5016" s="5"/>
      <c r="I5016" s="5"/>
      <c r="J5016" s="5"/>
      <c r="K5016" s="5"/>
      <c r="L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</row>
    <row r="5017" spans="5:30" ht="15">
      <c r="E5017" s="9"/>
      <c r="F5017" s="5"/>
      <c r="G5017" s="5"/>
      <c r="H5017" s="5"/>
      <c r="I5017" s="5"/>
      <c r="J5017" s="5"/>
      <c r="K5017" s="5"/>
      <c r="L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</row>
    <row r="5018" spans="5:30" ht="15">
      <c r="E5018" s="9"/>
      <c r="F5018" s="5"/>
      <c r="G5018" s="5"/>
      <c r="H5018" s="5"/>
      <c r="I5018" s="5"/>
      <c r="J5018" s="5"/>
      <c r="K5018" s="5"/>
      <c r="L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</row>
    <row r="5019" spans="5:30" ht="15">
      <c r="E5019" s="9"/>
      <c r="F5019" s="5"/>
      <c r="G5019" s="5"/>
      <c r="H5019" s="5"/>
      <c r="I5019" s="5"/>
      <c r="J5019" s="5"/>
      <c r="K5019" s="5"/>
      <c r="L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</row>
    <row r="5020" spans="5:30" ht="15">
      <c r="E5020" s="9"/>
      <c r="F5020" s="5"/>
      <c r="G5020" s="5"/>
      <c r="H5020" s="5"/>
      <c r="I5020" s="5"/>
      <c r="J5020" s="5"/>
      <c r="K5020" s="5"/>
      <c r="L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</row>
    <row r="5021" spans="5:30" ht="15">
      <c r="E5021" s="9"/>
      <c r="F5021" s="5"/>
      <c r="G5021" s="5"/>
      <c r="H5021" s="5"/>
      <c r="I5021" s="5"/>
      <c r="J5021" s="5"/>
      <c r="K5021" s="5"/>
      <c r="L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</row>
    <row r="5022" spans="5:30" ht="15">
      <c r="E5022" s="9"/>
      <c r="F5022" s="5"/>
      <c r="G5022" s="5"/>
      <c r="H5022" s="5"/>
      <c r="I5022" s="5"/>
      <c r="J5022" s="5"/>
      <c r="K5022" s="5"/>
      <c r="L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</row>
    <row r="5023" spans="5:30" ht="15">
      <c r="E5023" s="9"/>
      <c r="F5023" s="5"/>
      <c r="G5023" s="5"/>
      <c r="H5023" s="5"/>
      <c r="I5023" s="5"/>
      <c r="J5023" s="5"/>
      <c r="K5023" s="5"/>
      <c r="L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</row>
    <row r="5024" spans="5:30" ht="15">
      <c r="E5024" s="9"/>
      <c r="F5024" s="5"/>
      <c r="G5024" s="5"/>
      <c r="H5024" s="5"/>
      <c r="I5024" s="5"/>
      <c r="J5024" s="5"/>
      <c r="K5024" s="5"/>
      <c r="L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</row>
    <row r="5025" spans="5:30" ht="15">
      <c r="E5025" s="9"/>
      <c r="F5025" s="5"/>
      <c r="G5025" s="5"/>
      <c r="H5025" s="5"/>
      <c r="I5025" s="5"/>
      <c r="J5025" s="5"/>
      <c r="K5025" s="5"/>
      <c r="L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</row>
    <row r="5026" spans="5:30" ht="15">
      <c r="E5026" s="9"/>
      <c r="F5026" s="5"/>
      <c r="G5026" s="5"/>
      <c r="H5026" s="5"/>
      <c r="I5026" s="5"/>
      <c r="J5026" s="5"/>
      <c r="K5026" s="5"/>
      <c r="L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</row>
    <row r="5027" spans="5:30" ht="15">
      <c r="E5027" s="9"/>
      <c r="F5027" s="5"/>
      <c r="G5027" s="5"/>
      <c r="H5027" s="5"/>
      <c r="I5027" s="5"/>
      <c r="J5027" s="5"/>
      <c r="K5027" s="5"/>
      <c r="L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</row>
    <row r="5028" spans="5:30" ht="15">
      <c r="E5028" s="9"/>
      <c r="F5028" s="5"/>
      <c r="G5028" s="5"/>
      <c r="H5028" s="5"/>
      <c r="I5028" s="5"/>
      <c r="J5028" s="5"/>
      <c r="K5028" s="5"/>
      <c r="L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</row>
    <row r="5029" spans="5:30" ht="15">
      <c r="E5029" s="9"/>
      <c r="F5029" s="5"/>
      <c r="G5029" s="5"/>
      <c r="H5029" s="5"/>
      <c r="I5029" s="5"/>
      <c r="J5029" s="5"/>
      <c r="K5029" s="5"/>
      <c r="L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</row>
    <row r="5030" spans="5:30" ht="15">
      <c r="E5030" s="9"/>
      <c r="F5030" s="5"/>
      <c r="G5030" s="5"/>
      <c r="H5030" s="5"/>
      <c r="I5030" s="5"/>
      <c r="J5030" s="5"/>
      <c r="K5030" s="5"/>
      <c r="L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</row>
    <row r="5031" spans="5:30" ht="15">
      <c r="E5031" s="9"/>
      <c r="F5031" s="5"/>
      <c r="G5031" s="5"/>
      <c r="H5031" s="5"/>
      <c r="I5031" s="5"/>
      <c r="J5031" s="5"/>
      <c r="K5031" s="5"/>
      <c r="L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</row>
    <row r="5032" spans="5:30" ht="15">
      <c r="E5032" s="9"/>
      <c r="F5032" s="5"/>
      <c r="G5032" s="5"/>
      <c r="H5032" s="5"/>
      <c r="I5032" s="5"/>
      <c r="J5032" s="5"/>
      <c r="K5032" s="5"/>
      <c r="L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</row>
    <row r="5033" spans="5:30" ht="15">
      <c r="E5033" s="9"/>
      <c r="F5033" s="5"/>
      <c r="G5033" s="5"/>
      <c r="H5033" s="5"/>
      <c r="I5033" s="5"/>
      <c r="J5033" s="5"/>
      <c r="K5033" s="5"/>
      <c r="L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</row>
    <row r="5034" spans="5:30" ht="15">
      <c r="E5034" s="9"/>
      <c r="F5034" s="5"/>
      <c r="G5034" s="5"/>
      <c r="H5034" s="5"/>
      <c r="I5034" s="5"/>
      <c r="J5034" s="5"/>
      <c r="K5034" s="5"/>
      <c r="L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</row>
    <row r="5035" spans="5:30" ht="15">
      <c r="E5035" s="9"/>
      <c r="F5035" s="5"/>
      <c r="G5035" s="5"/>
      <c r="H5035" s="5"/>
      <c r="I5035" s="5"/>
      <c r="J5035" s="5"/>
      <c r="K5035" s="5"/>
      <c r="L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</row>
    <row r="5036" spans="5:30" ht="15">
      <c r="E5036" s="9"/>
      <c r="F5036" s="5"/>
      <c r="G5036" s="5"/>
      <c r="H5036" s="5"/>
      <c r="I5036" s="5"/>
      <c r="J5036" s="5"/>
      <c r="K5036" s="5"/>
      <c r="L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</row>
    <row r="5037" spans="5:30" ht="15">
      <c r="E5037" s="9"/>
      <c r="F5037" s="5"/>
      <c r="G5037" s="5"/>
      <c r="H5037" s="5"/>
      <c r="I5037" s="5"/>
      <c r="J5037" s="5"/>
      <c r="K5037" s="5"/>
      <c r="L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</row>
    <row r="5038" spans="5:30" ht="15">
      <c r="E5038" s="9"/>
      <c r="F5038" s="5"/>
      <c r="G5038" s="5"/>
      <c r="H5038" s="5"/>
      <c r="I5038" s="5"/>
      <c r="J5038" s="5"/>
      <c r="K5038" s="5"/>
      <c r="L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</row>
    <row r="5039" spans="5:30" ht="15">
      <c r="E5039" s="9"/>
      <c r="F5039" s="5"/>
      <c r="G5039" s="5"/>
      <c r="H5039" s="5"/>
      <c r="I5039" s="5"/>
      <c r="J5039" s="5"/>
      <c r="K5039" s="5"/>
      <c r="L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</row>
    <row r="5040" spans="5:30" ht="15">
      <c r="E5040" s="9"/>
      <c r="F5040" s="5"/>
      <c r="G5040" s="5"/>
      <c r="H5040" s="5"/>
      <c r="I5040" s="5"/>
      <c r="J5040" s="5"/>
      <c r="K5040" s="5"/>
      <c r="L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</row>
    <row r="5041" spans="5:30" ht="15">
      <c r="E5041" s="9"/>
      <c r="F5041" s="5"/>
      <c r="G5041" s="5"/>
      <c r="H5041" s="5"/>
      <c r="I5041" s="5"/>
      <c r="J5041" s="5"/>
      <c r="K5041" s="5"/>
      <c r="L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</row>
    <row r="5042" spans="5:30" ht="15">
      <c r="E5042" s="9"/>
      <c r="F5042" s="5"/>
      <c r="G5042" s="5"/>
      <c r="H5042" s="5"/>
      <c r="I5042" s="5"/>
      <c r="J5042" s="5"/>
      <c r="K5042" s="5"/>
      <c r="L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</row>
    <row r="5043" spans="5:30" ht="15">
      <c r="E5043" s="9"/>
      <c r="F5043" s="5"/>
      <c r="G5043" s="5"/>
      <c r="H5043" s="5"/>
      <c r="I5043" s="5"/>
      <c r="J5043" s="5"/>
      <c r="K5043" s="5"/>
      <c r="L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</row>
    <row r="5044" spans="5:30" ht="15">
      <c r="E5044" s="9"/>
      <c r="F5044" s="5"/>
      <c r="G5044" s="5"/>
      <c r="H5044" s="5"/>
      <c r="I5044" s="5"/>
      <c r="J5044" s="5"/>
      <c r="K5044" s="5"/>
      <c r="L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</row>
    <row r="5045" spans="5:30" ht="15">
      <c r="E5045" s="9"/>
      <c r="F5045" s="5"/>
      <c r="G5045" s="5"/>
      <c r="H5045" s="5"/>
      <c r="I5045" s="5"/>
      <c r="J5045" s="5"/>
      <c r="K5045" s="5"/>
      <c r="L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</row>
    <row r="5046" spans="5:30" ht="15">
      <c r="E5046" s="9"/>
      <c r="F5046" s="5"/>
      <c r="G5046" s="5"/>
      <c r="H5046" s="5"/>
      <c r="I5046" s="5"/>
      <c r="J5046" s="5"/>
      <c r="K5046" s="5"/>
      <c r="L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</row>
    <row r="5047" spans="5:30" ht="15">
      <c r="E5047" s="9"/>
      <c r="F5047" s="5"/>
      <c r="G5047" s="5"/>
      <c r="H5047" s="5"/>
      <c r="I5047" s="5"/>
      <c r="J5047" s="5"/>
      <c r="K5047" s="5"/>
      <c r="L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</row>
    <row r="5048" spans="5:30" ht="15">
      <c r="E5048" s="9"/>
      <c r="F5048" s="5"/>
      <c r="G5048" s="5"/>
      <c r="H5048" s="5"/>
      <c r="I5048" s="5"/>
      <c r="J5048" s="5"/>
      <c r="K5048" s="5"/>
      <c r="L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</row>
    <row r="5049" spans="5:30" ht="15">
      <c r="E5049" s="9"/>
      <c r="F5049" s="5"/>
      <c r="G5049" s="5"/>
      <c r="H5049" s="5"/>
      <c r="I5049" s="5"/>
      <c r="J5049" s="5"/>
      <c r="K5049" s="5"/>
      <c r="L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</row>
    <row r="5050" spans="5:30" ht="15">
      <c r="E5050" s="9"/>
      <c r="F5050" s="5"/>
      <c r="G5050" s="5"/>
      <c r="H5050" s="5"/>
      <c r="I5050" s="5"/>
      <c r="J5050" s="5"/>
      <c r="K5050" s="5"/>
      <c r="L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</row>
    <row r="5051" spans="5:30" ht="15">
      <c r="E5051" s="9"/>
      <c r="F5051" s="5"/>
      <c r="G5051" s="5"/>
      <c r="H5051" s="5"/>
      <c r="I5051" s="5"/>
      <c r="J5051" s="5"/>
      <c r="K5051" s="5"/>
      <c r="L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</row>
    <row r="5052" spans="5:30" ht="15">
      <c r="E5052" s="9"/>
      <c r="F5052" s="5"/>
      <c r="G5052" s="5"/>
      <c r="H5052" s="5"/>
      <c r="I5052" s="5"/>
      <c r="J5052" s="5"/>
      <c r="K5052" s="5"/>
      <c r="L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</row>
    <row r="5053" spans="5:30" ht="15">
      <c r="E5053" s="9"/>
      <c r="F5053" s="5"/>
      <c r="G5053" s="5"/>
      <c r="H5053" s="5"/>
      <c r="I5053" s="5"/>
      <c r="J5053" s="5"/>
      <c r="K5053" s="5"/>
      <c r="L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</row>
    <row r="5054" spans="5:30" ht="15">
      <c r="E5054" s="9"/>
      <c r="F5054" s="5"/>
      <c r="G5054" s="5"/>
      <c r="H5054" s="5"/>
      <c r="I5054" s="5"/>
      <c r="J5054" s="5"/>
      <c r="K5054" s="5"/>
      <c r="L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</row>
    <row r="5055" spans="5:30" ht="15">
      <c r="E5055" s="9"/>
      <c r="F5055" s="5"/>
      <c r="G5055" s="5"/>
      <c r="H5055" s="5"/>
      <c r="I5055" s="5"/>
      <c r="J5055" s="5"/>
      <c r="K5055" s="5"/>
      <c r="L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Live</vt:lpstr>
      <vt:lpstr>Static</vt:lpstr>
      <vt:lpstr>chronological</vt:lpstr>
      <vt:lpstr>enddate</vt:lpstr>
      <vt:lpstr>fill</vt:lpstr>
      <vt:lpstr>period</vt:lpstr>
      <vt:lpstr>startdate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Roberts Grava</cp:lastModifiedBy>
  <dcterms:created xsi:type="dcterms:W3CDTF">2011-02-04T18:00:44Z</dcterms:created>
  <dcterms:modified xsi:type="dcterms:W3CDTF">2018-09-12T11:35:37Z</dcterms:modified>
</cp:coreProperties>
</file>